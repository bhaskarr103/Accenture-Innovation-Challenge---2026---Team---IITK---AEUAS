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sens_002_WS10_2023_09_21" sheetId="1" r:id="rId4"/>
    <sheet state="visible" name="xsens_003_WS10_2023_09_21" sheetId="2" r:id="rId5"/>
    <sheet state="visible" name="xsens_002_WS10_2023_10_03" sheetId="3" r:id="rId6"/>
    <sheet state="visible" name="xsens_004_WS10_2023_10_03" sheetId="4" r:id="rId7"/>
    <sheet state="visible" name="xsens_005_WS10_2023_10_03" sheetId="5" r:id="rId8"/>
  </sheets>
  <definedNames/>
  <calcPr/>
</workbook>
</file>

<file path=xl/sharedStrings.xml><?xml version="1.0" encoding="utf-8"?>
<sst xmlns="http://schemas.openxmlformats.org/spreadsheetml/2006/main" count="595" uniqueCount="115">
  <si>
    <t>Video Name</t>
  </si>
  <si>
    <t>EAWS evaluation</t>
  </si>
  <si>
    <t>xsens_002_WS10_2023_09_21_out_camera_cropped_L_view</t>
  </si>
  <si>
    <t>Subgoal</t>
  </si>
  <si>
    <t>Activity</t>
  </si>
  <si>
    <t xml:space="preserve">Start [sec] </t>
  </si>
  <si>
    <t>End [sec]</t>
  </si>
  <si>
    <t>Duration [sec]</t>
  </si>
  <si>
    <t>Duration (sec)</t>
  </si>
  <si>
    <t>Intensity (0-5)
0 is none, 5 is full</t>
  </si>
  <si>
    <t>1. Place cart</t>
  </si>
  <si>
    <t>1.1</t>
  </si>
  <si>
    <t>Move cart towards the line, following the ground signs</t>
  </si>
  <si>
    <t>1.2</t>
  </si>
  <si>
    <t>Position dolly cart at the line - anterior wheels are on the line</t>
  </si>
  <si>
    <t>1.3</t>
  </si>
  <si>
    <t>Lock right front wheel</t>
  </si>
  <si>
    <t>1.4</t>
  </si>
  <si>
    <t>Lock left front wheel</t>
  </si>
  <si>
    <t>2. WS adjustment</t>
  </si>
  <si>
    <t>2.1</t>
  </si>
  <si>
    <t>Move to working position at the WS</t>
  </si>
  <si>
    <t>2.2</t>
  </si>
  <si>
    <t>Adjust AWS to user-defined working height</t>
  </si>
  <si>
    <t>2.3</t>
  </si>
  <si>
    <t>Manually adjust WS to working height</t>
  </si>
  <si>
    <t>3. Fixate glass front door</t>
  </si>
  <si>
    <t>3.1</t>
  </si>
  <si>
    <t>Navigate to tool station</t>
  </si>
  <si>
    <t>3.2</t>
  </si>
  <si>
    <t>Pick up screwdriver from the tool station</t>
  </si>
  <si>
    <t>3.3</t>
  </si>
  <si>
    <t>Navigate to WS location</t>
  </si>
  <si>
    <t>3.4</t>
  </si>
  <si>
    <t>Take component from the cart</t>
  </si>
  <si>
    <t>3.5</t>
  </si>
  <si>
    <t>Tilt component and Insert component in the internal door channel</t>
  </si>
  <si>
    <t>3.6</t>
  </si>
  <si>
    <t>Push component towards the anterior door side</t>
  </si>
  <si>
    <t>3.7</t>
  </si>
  <si>
    <t>Manually fit internal door gasket on sheet metal edge</t>
  </si>
  <si>
    <t>3.8</t>
  </si>
  <si>
    <t>Navigate to hand-over position</t>
  </si>
  <si>
    <t>3.9</t>
  </si>
  <si>
    <t>Hand over screwdriver to user</t>
  </si>
  <si>
    <t>3.10</t>
  </si>
  <si>
    <t>Take screwdriver from robot (release the tool from gripper &amp; move arm to parkpos)</t>
  </si>
  <si>
    <t>3.11</t>
  </si>
  <si>
    <t>3.12</t>
  </si>
  <si>
    <t>Take the screwdriver 1 from the line side</t>
  </si>
  <si>
    <t>3.13</t>
  </si>
  <si>
    <t>Fix superior part of the component</t>
  </si>
  <si>
    <t>3.13.1</t>
  </si>
  <si>
    <t>Take 1 screw from the pouch</t>
  </si>
  <si>
    <t>3.13.2</t>
  </si>
  <si>
    <t>Place screw on the screwdriver tip</t>
  </si>
  <si>
    <t>3.13.3</t>
  </si>
  <si>
    <t>Mount screw in position</t>
  </si>
  <si>
    <t>3.14</t>
  </si>
  <si>
    <t>Fix inferior part of the component</t>
  </si>
  <si>
    <t>3.14.1</t>
  </si>
  <si>
    <t>Move around the cart</t>
  </si>
  <si>
    <t>3.14.2</t>
  </si>
  <si>
    <t>3.14.3</t>
  </si>
  <si>
    <t>3.14.4</t>
  </si>
  <si>
    <t>3.15</t>
  </si>
  <si>
    <t>3.16</t>
  </si>
  <si>
    <t>Extend robot arm for take back</t>
  </si>
  <si>
    <t>3.17</t>
  </si>
  <si>
    <t>Take screwdriver from user</t>
  </si>
  <si>
    <t>3.18</t>
  </si>
  <si>
    <t>4. Fixate weather strip front door belt end</t>
  </si>
  <si>
    <t>4.1</t>
  </si>
  <si>
    <t>Take the component from the cart</t>
  </si>
  <si>
    <t>4.2</t>
  </si>
  <si>
    <t>Manually put it on the glass sliding seat in the belt line area, starting from the front door area</t>
  </si>
  <si>
    <t>4.3</t>
  </si>
  <si>
    <t>Place the flocked lip of the gasket that must go in contact with the glass</t>
  </si>
  <si>
    <t>4.4</t>
  </si>
  <si>
    <t>Insert the gasket into the groove of “voletto”</t>
  </si>
  <si>
    <t>4.5</t>
  </si>
  <si>
    <t>Using manual pressure (e.g., hammer), slide the gasket onto the door sheet along its entire length, up to the B pillar</t>
  </si>
  <si>
    <t>4.6</t>
  </si>
  <si>
    <t>Check the correct alignment between the gasket and the door sheet from the front door area to the B pillar</t>
  </si>
  <si>
    <t>5. Fixate posterior vertical coverage</t>
  </si>
  <si>
    <t>5.1</t>
  </si>
  <si>
    <t>5.2</t>
  </si>
  <si>
    <t>Manually position component</t>
  </si>
  <si>
    <t>5.3</t>
  </si>
  <si>
    <t>Check position of component</t>
  </si>
  <si>
    <t>5.4</t>
  </si>
  <si>
    <t>Align upper profile of the panel with the gasket by moving it in Z and make sure hook is correctly positioned</t>
  </si>
  <si>
    <t>5.5</t>
  </si>
  <si>
    <t>5.6</t>
  </si>
  <si>
    <t>5.7</t>
  </si>
  <si>
    <t>5.8</t>
  </si>
  <si>
    <t>5.9</t>
  </si>
  <si>
    <t>Fix component starting from the bottom</t>
  </si>
  <si>
    <t>5.9.1</t>
  </si>
  <si>
    <t>Take N 3 screw from the pouch</t>
  </si>
  <si>
    <t>5.9.2</t>
  </si>
  <si>
    <t>Place the screws on the screwdriver tip, insert one at a time</t>
  </si>
  <si>
    <t>5.9.3</t>
  </si>
  <si>
    <t xml:space="preserve">Fix the panel starting from the bottom </t>
  </si>
  <si>
    <t>5.11</t>
  </si>
  <si>
    <t>5.12</t>
  </si>
  <si>
    <t>5.13</t>
  </si>
  <si>
    <t>Navigate to the tool station</t>
  </si>
  <si>
    <t>5.14</t>
  </si>
  <si>
    <t>Place the screwdriver into the tool station</t>
  </si>
  <si>
    <t>Return screwdriver to tool station</t>
  </si>
  <si>
    <t>xsens_003_WS10_2023_09_21_out_camera_cropped_L_view</t>
  </si>
  <si>
    <t>xsens_002_WS10_2023_10_03_out_camera_cropped_L_view</t>
  </si>
  <si>
    <t>xsens_004_WS10_2023_10_03_out_camera_cropped_L_view</t>
  </si>
  <si>
    <t>xsens_005_WS10_2023_10_03_out_camera_cropped_L_view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</si>
</sst>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theme="1"/>
      <name val="Calibri"/>
    </font>
    <font>
      <b/>
      <sz val="18.0"/>
      <color theme="1"/>
      <name val="Calibri"/>
    </font>
    <font/>
    <font>
      <b/>
      <sz val="16.0"/>
      <color theme="1"/>
      <name val="Calibri"/>
    </font>
    <font>
      <b/>
      <sz val="11.0"/>
      <color theme="1"/>
      <name val="Calibri"/>
    </font>
    <font>
      <color theme="1"/>
      <name val="Arial"/>
      <scheme val="minor"/>
    </font>
    <font>
      <b/>
      <sz val="12.0"/>
      <color theme="1"/>
      <name val="Calibri"/>
    </font>
    <font>
      <sz val="28.0"/>
      <color theme="1"/>
      <name val="Calibri"/>
    </font>
    <font>
      <sz val="11.0"/>
      <color rgb="FF201F1E"/>
      <name val="Quattrocento Sans"/>
    </font>
  </fonts>
  <fills count="6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</fills>
  <borders count="3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2" fontId="5" numFmtId="0" xfId="0" applyAlignment="1" applyBorder="1" applyFont="1">
      <alignment horizontal="center" readingOrder="0" shrinkToFit="0" vertical="center" wrapText="1"/>
    </xf>
    <xf borderId="8" fillId="0" fontId="3" numFmtId="0" xfId="0" applyBorder="1" applyFont="1"/>
    <xf borderId="9" fillId="0" fontId="3" numFmtId="0" xfId="0" applyBorder="1" applyFont="1"/>
    <xf borderId="0" fillId="0" fontId="6" numFmtId="0" xfId="0" applyFont="1"/>
    <xf borderId="10" fillId="4" fontId="7" numFmtId="0" xfId="0" applyAlignment="1" applyBorder="1" applyFill="1" applyFont="1">
      <alignment horizontal="center" shrinkToFit="0" vertical="center" wrapText="1"/>
    </xf>
    <xf borderId="10" fillId="4" fontId="7" numFmtId="0" xfId="0" applyAlignment="1" applyBorder="1" applyFont="1">
      <alignment horizontal="center" vertical="center"/>
    </xf>
    <xf borderId="11" fillId="2" fontId="7" numFmtId="0" xfId="0" applyAlignment="1" applyBorder="1" applyFont="1">
      <alignment horizontal="center" vertical="center"/>
    </xf>
    <xf borderId="12" fillId="2" fontId="7" numFmtId="0" xfId="0" applyAlignment="1" applyBorder="1" applyFont="1">
      <alignment horizontal="center"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13" fillId="0" fontId="1" numFmtId="0" xfId="0" applyBorder="1" applyFont="1"/>
    <xf borderId="13" fillId="0" fontId="1" numFmtId="0" xfId="0" applyAlignment="1" applyBorder="1" applyFont="1">
      <alignment shrinkToFit="0" wrapText="1"/>
    </xf>
    <xf borderId="14" fillId="5" fontId="5" numFmtId="0" xfId="0" applyBorder="1" applyFill="1" applyFont="1"/>
    <xf borderId="15" fillId="5" fontId="5" numFmtId="0" xfId="0" applyBorder="1" applyFont="1"/>
    <xf borderId="16" fillId="5" fontId="8" numFmtId="0" xfId="0" applyAlignment="1" applyBorder="1" applyFont="1">
      <alignment horizontal="center"/>
    </xf>
    <xf borderId="17" fillId="5" fontId="8" numFmtId="0" xfId="0" applyAlignment="1" applyBorder="1" applyFont="1">
      <alignment horizontal="center"/>
    </xf>
    <xf borderId="18" fillId="0" fontId="3" numFmtId="0" xfId="0" applyBorder="1" applyFont="1"/>
    <xf borderId="18" fillId="0" fontId="1" numFmtId="0" xfId="0" applyBorder="1" applyFont="1"/>
    <xf borderId="18" fillId="0" fontId="1" numFmtId="0" xfId="0" applyAlignment="1" applyBorder="1" applyFont="1">
      <alignment shrinkToFit="0" wrapText="1"/>
    </xf>
    <xf borderId="12" fillId="5" fontId="5" numFmtId="0" xfId="0" applyBorder="1" applyFont="1"/>
    <xf borderId="19" fillId="5" fontId="5" numFmtId="0" xfId="0" applyBorder="1" applyFont="1"/>
    <xf borderId="20" fillId="0" fontId="3" numFmtId="0" xfId="0" applyBorder="1" applyFont="1"/>
    <xf borderId="21" fillId="5" fontId="8" numFmtId="0" xfId="0" applyAlignment="1" applyBorder="1" applyFont="1">
      <alignment horizontal="center"/>
    </xf>
    <xf borderId="22" fillId="0" fontId="3" numFmtId="0" xfId="0" applyBorder="1" applyFont="1"/>
    <xf borderId="22" fillId="0" fontId="1" numFmtId="0" xfId="0" applyBorder="1" applyFont="1"/>
    <xf borderId="22" fillId="0" fontId="1" numFmtId="0" xfId="0" applyAlignment="1" applyBorder="1" applyFont="1">
      <alignment shrinkToFit="0" wrapText="1"/>
    </xf>
    <xf borderId="11" fillId="5" fontId="5" numFmtId="0" xfId="0" applyBorder="1" applyFont="1"/>
    <xf borderId="23" fillId="5" fontId="5" numFmtId="0" xfId="0" applyBorder="1" applyFont="1"/>
    <xf borderId="24" fillId="0" fontId="3" numFmtId="0" xfId="0" applyBorder="1" applyFont="1"/>
    <xf borderId="25" fillId="5" fontId="8" numFmtId="0" xfId="0" applyAlignment="1" applyBorder="1" applyFont="1">
      <alignment horizontal="center"/>
    </xf>
    <xf borderId="13" fillId="0" fontId="5" numFmtId="2" xfId="0" applyAlignment="1" applyBorder="1" applyFont="1" applyNumberFormat="1">
      <alignment readingOrder="0"/>
    </xf>
    <xf borderId="13" fillId="0" fontId="5" numFmtId="0" xfId="0" applyBorder="1" applyFont="1"/>
    <xf borderId="26" fillId="0" fontId="5" numFmtId="0" xfId="0" applyBorder="1" applyFont="1"/>
    <xf borderId="16" fillId="0" fontId="8" numFmtId="0" xfId="0" applyAlignment="1" applyBorder="1" applyFont="1">
      <alignment horizontal="center" vertical="center"/>
    </xf>
    <xf borderId="18" fillId="0" fontId="5" numFmtId="0" xfId="0" applyBorder="1" applyFont="1"/>
    <xf borderId="27" fillId="0" fontId="5" numFmtId="0" xfId="0" applyBorder="1" applyFont="1"/>
    <xf borderId="22" fillId="0" fontId="5" numFmtId="0" xfId="0" applyBorder="1" applyFont="1"/>
    <xf borderId="22" fillId="0" fontId="5" numFmtId="0" xfId="0" applyAlignment="1" applyBorder="1" applyFont="1">
      <alignment readingOrder="0"/>
    </xf>
    <xf borderId="28" fillId="0" fontId="5" numFmtId="2" xfId="0" applyBorder="1" applyFont="1" applyNumberFormat="1"/>
    <xf borderId="28" fillId="0" fontId="5" numFmtId="0" xfId="0" applyBorder="1" applyFont="1"/>
    <xf borderId="13" fillId="0" fontId="5" numFmtId="0" xfId="0" applyAlignment="1" applyBorder="1" applyFont="1">
      <alignment readingOrder="0"/>
    </xf>
    <xf borderId="18" fillId="0" fontId="5" numFmtId="0" xfId="0" applyAlignment="1" applyBorder="1" applyFont="1">
      <alignment readingOrder="0"/>
    </xf>
    <xf borderId="29" fillId="0" fontId="8" numFmtId="0" xfId="0" applyAlignment="1" applyBorder="1" applyFont="1">
      <alignment vertical="center"/>
    </xf>
    <xf borderId="13" fillId="0" fontId="1" numFmtId="0" xfId="0" applyAlignment="1" applyBorder="1" applyFont="1">
      <alignment shrinkToFit="0" vertical="top" wrapText="1"/>
    </xf>
    <xf borderId="18" fillId="0" fontId="1" numFmtId="0" xfId="0" applyAlignment="1" applyBorder="1" applyFont="1">
      <alignment shrinkToFit="0" vertical="top" wrapText="1"/>
    </xf>
    <xf borderId="22" fillId="0" fontId="1" numFmtId="0" xfId="0" applyAlignment="1" applyBorder="1" applyFont="1">
      <alignment shrinkToFit="0" vertical="top" wrapText="1"/>
    </xf>
    <xf borderId="22" fillId="0" fontId="5" numFmtId="2" xfId="0" applyBorder="1" applyFont="1" applyNumberFormat="1"/>
    <xf borderId="7" fillId="2" fontId="9" numFmtId="0" xfId="0" applyAlignment="1" applyBorder="1" applyFont="1">
      <alignment horizontal="center" readingOrder="0" shrinkToFit="0" vertical="center" wrapText="1"/>
    </xf>
    <xf borderId="10" fillId="4" fontId="7" numFmtId="0" xfId="0" applyAlignment="1" applyBorder="1" applyFont="1">
      <alignment horizontal="center" shrinkToFit="0" vertical="top" wrapText="1"/>
    </xf>
    <xf borderId="10" fillId="4" fontId="7" numFmtId="0" xfId="0" applyAlignment="1" applyBorder="1" applyFont="1">
      <alignment horizontal="center" vertical="top"/>
    </xf>
    <xf borderId="13" fillId="0" fontId="1" numFmtId="0" xfId="0" applyAlignment="1" applyBorder="1" applyFont="1">
      <alignment horizontal="center" shrinkToFit="0" vertical="top" wrapText="1"/>
    </xf>
    <xf borderId="13" fillId="0" fontId="1" numFmtId="0" xfId="0" applyAlignment="1" applyBorder="1" applyFont="1">
      <alignment vertical="top"/>
    </xf>
    <xf borderId="18" fillId="0" fontId="1" numFmtId="0" xfId="0" applyAlignment="1" applyBorder="1" applyFont="1">
      <alignment vertical="top"/>
    </xf>
    <xf borderId="22" fillId="0" fontId="1" numFmtId="0" xfId="0" applyAlignment="1" applyBorder="1" applyFont="1">
      <alignment vertical="top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Relationship Id="rId3" Type="http://schemas.openxmlformats.org/officeDocument/2006/relationships/image" Target="../media/image6.png"/><Relationship Id="rId4" Type="http://schemas.openxmlformats.org/officeDocument/2006/relationships/image" Target="../media/image5.png"/><Relationship Id="rId10" Type="http://schemas.openxmlformats.org/officeDocument/2006/relationships/image" Target="../media/image3.png"/><Relationship Id="rId9" Type="http://schemas.openxmlformats.org/officeDocument/2006/relationships/image" Target="../media/image2.png"/><Relationship Id="rId5" Type="http://schemas.openxmlformats.org/officeDocument/2006/relationships/image" Target="../media/image10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Relationship Id="rId3" Type="http://schemas.openxmlformats.org/officeDocument/2006/relationships/image" Target="../media/image7.png"/><Relationship Id="rId4" Type="http://schemas.openxmlformats.org/officeDocument/2006/relationships/image" Target="../media/image8.png"/><Relationship Id="rId10" Type="http://schemas.openxmlformats.org/officeDocument/2006/relationships/image" Target="../media/image4.png"/><Relationship Id="rId9" Type="http://schemas.openxmlformats.org/officeDocument/2006/relationships/image" Target="../media/image6.png"/><Relationship Id="rId5" Type="http://schemas.openxmlformats.org/officeDocument/2006/relationships/image" Target="../media/image9.png"/><Relationship Id="rId6" Type="http://schemas.openxmlformats.org/officeDocument/2006/relationships/image" Target="../media/image2.png"/><Relationship Id="rId7" Type="http://schemas.openxmlformats.org/officeDocument/2006/relationships/image" Target="../media/image3.png"/><Relationship Id="rId8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Relationship Id="rId3" Type="http://schemas.openxmlformats.org/officeDocument/2006/relationships/image" Target="../media/image7.png"/><Relationship Id="rId4" Type="http://schemas.openxmlformats.org/officeDocument/2006/relationships/image" Target="../media/image8.png"/><Relationship Id="rId10" Type="http://schemas.openxmlformats.org/officeDocument/2006/relationships/image" Target="../media/image4.png"/><Relationship Id="rId9" Type="http://schemas.openxmlformats.org/officeDocument/2006/relationships/image" Target="../media/image6.png"/><Relationship Id="rId5" Type="http://schemas.openxmlformats.org/officeDocument/2006/relationships/image" Target="../media/image9.png"/><Relationship Id="rId6" Type="http://schemas.openxmlformats.org/officeDocument/2006/relationships/image" Target="../media/image2.png"/><Relationship Id="rId7" Type="http://schemas.openxmlformats.org/officeDocument/2006/relationships/image" Target="../media/image3.png"/><Relationship Id="rId8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Relationship Id="rId3" Type="http://schemas.openxmlformats.org/officeDocument/2006/relationships/image" Target="../media/image7.png"/><Relationship Id="rId4" Type="http://schemas.openxmlformats.org/officeDocument/2006/relationships/image" Target="../media/image8.png"/><Relationship Id="rId10" Type="http://schemas.openxmlformats.org/officeDocument/2006/relationships/image" Target="../media/image4.png"/><Relationship Id="rId9" Type="http://schemas.openxmlformats.org/officeDocument/2006/relationships/image" Target="../media/image6.png"/><Relationship Id="rId5" Type="http://schemas.openxmlformats.org/officeDocument/2006/relationships/image" Target="../media/image9.png"/><Relationship Id="rId6" Type="http://schemas.openxmlformats.org/officeDocument/2006/relationships/image" Target="../media/image2.png"/><Relationship Id="rId7" Type="http://schemas.openxmlformats.org/officeDocument/2006/relationships/image" Target="../media/image3.png"/><Relationship Id="rId8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Relationship Id="rId3" Type="http://schemas.openxmlformats.org/officeDocument/2006/relationships/image" Target="../media/image7.png"/><Relationship Id="rId4" Type="http://schemas.openxmlformats.org/officeDocument/2006/relationships/image" Target="../media/image8.png"/><Relationship Id="rId10" Type="http://schemas.openxmlformats.org/officeDocument/2006/relationships/image" Target="../media/image4.png"/><Relationship Id="rId9" Type="http://schemas.openxmlformats.org/officeDocument/2006/relationships/image" Target="../media/image6.png"/><Relationship Id="rId5" Type="http://schemas.openxmlformats.org/officeDocument/2006/relationships/image" Target="../media/image9.png"/><Relationship Id="rId6" Type="http://schemas.openxmlformats.org/officeDocument/2006/relationships/image" Target="../media/image2.png"/><Relationship Id="rId7" Type="http://schemas.openxmlformats.org/officeDocument/2006/relationships/image" Target="../media/image3.png"/><Relationship Id="rId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38100</xdr:colOff>
      <xdr:row>1</xdr:row>
      <xdr:rowOff>47625</xdr:rowOff>
    </xdr:from>
    <xdr:ext cx="1990725" cy="34290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990600</xdr:colOff>
      <xdr:row>0</xdr:row>
      <xdr:rowOff>47625</xdr:rowOff>
    </xdr:from>
    <xdr:ext cx="438150" cy="7239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790575</xdr:colOff>
      <xdr:row>0</xdr:row>
      <xdr:rowOff>9525</xdr:rowOff>
    </xdr:from>
    <xdr:ext cx="504825" cy="77152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2038350" cy="33337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1571625" cy="29527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1905000" cy="3143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2057400" cy="31432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1085850" cy="361950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990600" cy="285750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1876425" cy="295275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38100</xdr:rowOff>
    </xdr:from>
    <xdr:ext cx="2009775" cy="323850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76200</xdr:rowOff>
    </xdr:from>
    <xdr:ext cx="1581150" cy="285750"/>
    <xdr:pic>
      <xdr:nvPicPr>
        <xdr:cNvPr id="0" name="image1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1</xdr:row>
      <xdr:rowOff>57150</xdr:rowOff>
    </xdr:from>
    <xdr:ext cx="1885950" cy="314325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57150</xdr:rowOff>
    </xdr:from>
    <xdr:ext cx="2057400" cy="3143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1</xdr:row>
      <xdr:rowOff>47625</xdr:rowOff>
    </xdr:from>
    <xdr:ext cx="2000250" cy="342900"/>
    <xdr:pic>
      <xdr:nvPicPr>
        <xdr:cNvPr id="0" name="image1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1</xdr:row>
      <xdr:rowOff>66675</xdr:rowOff>
    </xdr:from>
    <xdr:ext cx="1057275" cy="304800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38100</xdr:colOff>
      <xdr:row>1</xdr:row>
      <xdr:rowOff>76200</xdr:rowOff>
    </xdr:from>
    <xdr:ext cx="1885950" cy="295275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276225</xdr:colOff>
      <xdr:row>0</xdr:row>
      <xdr:rowOff>9525</xdr:rowOff>
    </xdr:from>
    <xdr:ext cx="476250" cy="676275"/>
    <xdr:pic>
      <xdr:nvPicPr>
        <xdr:cNvPr id="0" name="image1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238125</xdr:colOff>
      <xdr:row>0</xdr:row>
      <xdr:rowOff>0</xdr:rowOff>
    </xdr:from>
    <xdr:ext cx="495300" cy="676275"/>
    <xdr:pic>
      <xdr:nvPicPr>
        <xdr:cNvPr id="0" name="image1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971550" cy="323850"/>
    <xdr:pic>
      <xdr:nvPicPr>
        <xdr:cNvPr id="0" name="image1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38100</xdr:rowOff>
    </xdr:from>
    <xdr:ext cx="2009775" cy="323850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76200</xdr:rowOff>
    </xdr:from>
    <xdr:ext cx="1581150" cy="285750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0</xdr:row>
      <xdr:rowOff>57150</xdr:rowOff>
    </xdr:from>
    <xdr:ext cx="1885950" cy="314325"/>
    <xdr:pic>
      <xdr:nvPicPr>
        <xdr:cNvPr id="0" name="image2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57150</xdr:rowOff>
    </xdr:from>
    <xdr:ext cx="2057400" cy="314325"/>
    <xdr:pic>
      <xdr:nvPicPr>
        <xdr:cNvPr id="0" name="image2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0</xdr:row>
      <xdr:rowOff>47625</xdr:rowOff>
    </xdr:from>
    <xdr:ext cx="2000250" cy="342900"/>
    <xdr:pic>
      <xdr:nvPicPr>
        <xdr:cNvPr id="0" name="image2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0</xdr:row>
      <xdr:rowOff>66675</xdr:rowOff>
    </xdr:from>
    <xdr:ext cx="1057275" cy="304800"/>
    <xdr:pic>
      <xdr:nvPicPr>
        <xdr:cNvPr id="0" name="image2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38100</xdr:colOff>
      <xdr:row>0</xdr:row>
      <xdr:rowOff>76200</xdr:rowOff>
    </xdr:from>
    <xdr:ext cx="1885950" cy="295275"/>
    <xdr:pic>
      <xdr:nvPicPr>
        <xdr:cNvPr id="0" name="image2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276225</xdr:colOff>
      <xdr:row>0</xdr:row>
      <xdr:rowOff>9525</xdr:rowOff>
    </xdr:from>
    <xdr:ext cx="476250" cy="771525"/>
    <xdr:pic>
      <xdr:nvPicPr>
        <xdr:cNvPr id="0" name="image5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238125</xdr:colOff>
      <xdr:row>0</xdr:row>
      <xdr:rowOff>0</xdr:rowOff>
    </xdr:from>
    <xdr:ext cx="495300" cy="771525"/>
    <xdr:pic>
      <xdr:nvPicPr>
        <xdr:cNvPr id="0" name="image2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971550" cy="323850"/>
    <xdr:pic>
      <xdr:nvPicPr>
        <xdr:cNvPr id="0" name="image2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38100</xdr:rowOff>
    </xdr:from>
    <xdr:ext cx="2009775" cy="323850"/>
    <xdr:pic>
      <xdr:nvPicPr>
        <xdr:cNvPr id="0" name="image3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76200</xdr:rowOff>
    </xdr:from>
    <xdr:ext cx="1581150" cy="285750"/>
    <xdr:pic>
      <xdr:nvPicPr>
        <xdr:cNvPr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0</xdr:row>
      <xdr:rowOff>57150</xdr:rowOff>
    </xdr:from>
    <xdr:ext cx="1885950" cy="314325"/>
    <xdr:pic>
      <xdr:nvPicPr>
        <xdr:cNvPr id="0" name="image3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57150</xdr:rowOff>
    </xdr:from>
    <xdr:ext cx="2057400" cy="314325"/>
    <xdr:pic>
      <xdr:nvPicPr>
        <xdr:cNvPr id="0" name="image3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0</xdr:row>
      <xdr:rowOff>47625</xdr:rowOff>
    </xdr:from>
    <xdr:ext cx="2000250" cy="342900"/>
    <xdr:pic>
      <xdr:nvPicPr>
        <xdr:cNvPr id="0" name="image3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0</xdr:row>
      <xdr:rowOff>66675</xdr:rowOff>
    </xdr:from>
    <xdr:ext cx="1057275" cy="304800"/>
    <xdr:pic>
      <xdr:nvPicPr>
        <xdr:cNvPr id="0" name="image3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38100</xdr:colOff>
      <xdr:row>0</xdr:row>
      <xdr:rowOff>76200</xdr:rowOff>
    </xdr:from>
    <xdr:ext cx="1885950" cy="295275"/>
    <xdr:pic>
      <xdr:nvPicPr>
        <xdr:cNvPr id="0" name="image3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114300</xdr:colOff>
      <xdr:row>0</xdr:row>
      <xdr:rowOff>9525</xdr:rowOff>
    </xdr:from>
    <xdr:ext cx="638175" cy="1028700"/>
    <xdr:pic>
      <xdr:nvPicPr>
        <xdr:cNvPr id="0" name="image3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142875</xdr:colOff>
      <xdr:row>0</xdr:row>
      <xdr:rowOff>0</xdr:rowOff>
    </xdr:from>
    <xdr:ext cx="600075" cy="942975"/>
    <xdr:pic>
      <xdr:nvPicPr>
        <xdr:cNvPr id="0" name="image3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971550" cy="323850"/>
    <xdr:pic>
      <xdr:nvPicPr>
        <xdr:cNvPr id="0" name="image3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38100</xdr:rowOff>
    </xdr:from>
    <xdr:ext cx="2009775" cy="323850"/>
    <xdr:pic>
      <xdr:nvPicPr>
        <xdr:cNvPr id="0" name="image4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76200</xdr:rowOff>
    </xdr:from>
    <xdr:ext cx="1581150" cy="285750"/>
    <xdr:pic>
      <xdr:nvPicPr>
        <xdr:cNvPr id="0" name="image4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0</xdr:row>
      <xdr:rowOff>57150</xdr:rowOff>
    </xdr:from>
    <xdr:ext cx="1885950" cy="314325"/>
    <xdr:pic>
      <xdr:nvPicPr>
        <xdr:cNvPr id="0" name="image4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57150</xdr:rowOff>
    </xdr:from>
    <xdr:ext cx="2057400" cy="314325"/>
    <xdr:pic>
      <xdr:nvPicPr>
        <xdr:cNvPr id="0" name="image4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0</xdr:row>
      <xdr:rowOff>47625</xdr:rowOff>
    </xdr:from>
    <xdr:ext cx="2000250" cy="342900"/>
    <xdr:pic>
      <xdr:nvPicPr>
        <xdr:cNvPr id="0" name="image4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0</xdr:row>
      <xdr:rowOff>66675</xdr:rowOff>
    </xdr:from>
    <xdr:ext cx="1057275" cy="304800"/>
    <xdr:pic>
      <xdr:nvPicPr>
        <xdr:cNvPr id="0" name="image4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38100</xdr:colOff>
      <xdr:row>0</xdr:row>
      <xdr:rowOff>76200</xdr:rowOff>
    </xdr:from>
    <xdr:ext cx="1885950" cy="295275"/>
    <xdr:pic>
      <xdr:nvPicPr>
        <xdr:cNvPr id="0" name="image4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114300</xdr:colOff>
      <xdr:row>0</xdr:row>
      <xdr:rowOff>9525</xdr:rowOff>
    </xdr:from>
    <xdr:ext cx="638175" cy="1028700"/>
    <xdr:pic>
      <xdr:nvPicPr>
        <xdr:cNvPr id="0" name="image4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142875</xdr:colOff>
      <xdr:row>0</xdr:row>
      <xdr:rowOff>0</xdr:rowOff>
    </xdr:from>
    <xdr:ext cx="600075" cy="942975"/>
    <xdr:pic>
      <xdr:nvPicPr>
        <xdr:cNvPr id="0" name="image4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971550" cy="323850"/>
    <xdr:pic>
      <xdr:nvPicPr>
        <xdr:cNvPr id="0" name="image4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7.63"/>
    <col customWidth="1" min="3" max="3" width="28.25"/>
    <col customWidth="1" min="4" max="4" width="9.63"/>
    <col customWidth="1" min="5" max="5" width="8.38"/>
    <col customWidth="1" min="6" max="6" width="15.88"/>
    <col customWidth="1" min="7" max="7" width="26.75"/>
    <col customWidth="1" min="8" max="8" width="20.63"/>
    <col customWidth="1" min="9" max="9" width="25.0"/>
    <col customWidth="1" min="10" max="10" width="27.0"/>
    <col customWidth="1" min="11" max="11" width="27.5"/>
    <col customWidth="1" min="12" max="12" width="14.25"/>
    <col customWidth="1" min="13" max="13" width="13.0"/>
    <col customWidth="1" min="14" max="14" width="24.63"/>
    <col customWidth="1" min="15" max="16" width="16.0"/>
    <col customWidth="1" min="17" max="18" width="13.0"/>
    <col customWidth="1" min="19" max="26" width="7.63"/>
  </cols>
  <sheetData>
    <row r="1" ht="29.25" customHeight="1">
      <c r="A1" s="1"/>
      <c r="C1" s="1"/>
      <c r="D1" s="2" t="s">
        <v>0</v>
      </c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6"/>
      <c r="P1" s="6"/>
      <c r="Q1" s="7"/>
    </row>
    <row r="2" ht="34.5" customHeight="1">
      <c r="A2" s="1"/>
      <c r="C2" s="1"/>
      <c r="D2" s="8" t="s">
        <v>2</v>
      </c>
      <c r="E2" s="9"/>
      <c r="F2" s="10"/>
      <c r="G2" s="11"/>
      <c r="H2" s="11"/>
      <c r="I2" s="11"/>
      <c r="J2" s="11"/>
      <c r="L2" s="11"/>
      <c r="M2" s="11"/>
      <c r="N2" s="11"/>
    </row>
    <row r="3">
      <c r="A3" s="12" t="s">
        <v>3</v>
      </c>
      <c r="B3" s="13"/>
      <c r="C3" s="12" t="s">
        <v>4</v>
      </c>
      <c r="D3" s="14" t="s">
        <v>5</v>
      </c>
      <c r="E3" s="14" t="s">
        <v>6</v>
      </c>
      <c r="F3" s="14" t="s">
        <v>7</v>
      </c>
      <c r="G3" s="15" t="s">
        <v>8</v>
      </c>
      <c r="H3" s="15" t="s">
        <v>8</v>
      </c>
      <c r="I3" s="15" t="s">
        <v>8</v>
      </c>
      <c r="J3" s="15" t="s">
        <v>8</v>
      </c>
      <c r="K3" s="15" t="s">
        <v>8</v>
      </c>
      <c r="L3" s="15" t="s">
        <v>8</v>
      </c>
      <c r="M3" s="15" t="s">
        <v>8</v>
      </c>
      <c r="N3" s="15" t="s">
        <v>8</v>
      </c>
      <c r="O3" s="15" t="s">
        <v>8</v>
      </c>
      <c r="P3" s="16" t="s">
        <v>9</v>
      </c>
      <c r="Q3" s="15" t="s">
        <v>8</v>
      </c>
      <c r="R3" s="16" t="s">
        <v>9</v>
      </c>
    </row>
    <row r="4" ht="30.0" customHeight="1">
      <c r="A4" s="17" t="s">
        <v>10</v>
      </c>
      <c r="B4" s="18" t="s">
        <v>11</v>
      </c>
      <c r="C4" s="19" t="s">
        <v>12</v>
      </c>
      <c r="D4" s="20"/>
      <c r="E4" s="20"/>
      <c r="F4" s="21"/>
      <c r="G4" s="22"/>
      <c r="H4" s="22"/>
      <c r="I4" s="22"/>
      <c r="J4" s="22"/>
      <c r="K4" s="22"/>
      <c r="L4" s="22"/>
      <c r="M4" s="22"/>
      <c r="N4" s="22"/>
      <c r="O4" s="22"/>
      <c r="P4" s="23"/>
      <c r="Q4" s="22"/>
      <c r="R4" s="22"/>
    </row>
    <row r="5" ht="30.0" customHeight="1">
      <c r="A5" s="24"/>
      <c r="B5" s="25" t="s">
        <v>13</v>
      </c>
      <c r="C5" s="26" t="s">
        <v>14</v>
      </c>
      <c r="D5" s="27"/>
      <c r="E5" s="27"/>
      <c r="F5" s="28"/>
      <c r="G5" s="29"/>
      <c r="H5" s="29"/>
      <c r="I5" s="29"/>
      <c r="J5" s="29"/>
      <c r="K5" s="29"/>
      <c r="L5" s="29"/>
      <c r="M5" s="29"/>
      <c r="N5" s="29"/>
      <c r="O5" s="29"/>
      <c r="P5" s="30"/>
      <c r="Q5" s="29"/>
      <c r="R5" s="29"/>
    </row>
    <row r="6" ht="15.0" customHeight="1">
      <c r="A6" s="24"/>
      <c r="B6" s="25" t="s">
        <v>15</v>
      </c>
      <c r="C6" s="26" t="s">
        <v>16</v>
      </c>
      <c r="D6" s="27"/>
      <c r="E6" s="27"/>
      <c r="F6" s="28"/>
      <c r="G6" s="29"/>
      <c r="H6" s="29"/>
      <c r="I6" s="29"/>
      <c r="J6" s="29"/>
      <c r="K6" s="29"/>
      <c r="L6" s="29"/>
      <c r="M6" s="29"/>
      <c r="N6" s="29"/>
      <c r="O6" s="29"/>
      <c r="P6" s="30"/>
      <c r="Q6" s="29"/>
      <c r="R6" s="29"/>
    </row>
    <row r="7" ht="15.75" customHeight="1">
      <c r="A7" s="31"/>
      <c r="B7" s="32" t="s">
        <v>17</v>
      </c>
      <c r="C7" s="33" t="s">
        <v>18</v>
      </c>
      <c r="D7" s="34"/>
      <c r="E7" s="34"/>
      <c r="F7" s="35"/>
      <c r="G7" s="36"/>
      <c r="H7" s="36"/>
      <c r="I7" s="36"/>
      <c r="J7" s="36"/>
      <c r="K7" s="36"/>
      <c r="L7" s="36"/>
      <c r="M7" s="36"/>
      <c r="N7" s="36"/>
      <c r="O7" s="36"/>
      <c r="P7" s="37"/>
      <c r="Q7" s="36"/>
      <c r="R7" s="36"/>
    </row>
    <row r="8" ht="30.0" customHeight="1">
      <c r="A8" s="17" t="s">
        <v>19</v>
      </c>
      <c r="B8" s="18" t="s">
        <v>20</v>
      </c>
      <c r="C8" s="19" t="s">
        <v>21</v>
      </c>
      <c r="D8" s="20"/>
      <c r="E8" s="20"/>
      <c r="F8" s="21"/>
      <c r="G8" s="22"/>
      <c r="H8" s="22"/>
      <c r="I8" s="22"/>
      <c r="J8" s="22"/>
      <c r="K8" s="22"/>
      <c r="L8" s="22"/>
      <c r="M8" s="22"/>
      <c r="N8" s="22"/>
      <c r="O8" s="22"/>
      <c r="P8" s="23"/>
      <c r="Q8" s="22"/>
      <c r="R8" s="22"/>
    </row>
    <row r="9" ht="30.0" customHeight="1">
      <c r="A9" s="24"/>
      <c r="B9" s="25" t="s">
        <v>22</v>
      </c>
      <c r="C9" s="26" t="s">
        <v>23</v>
      </c>
      <c r="D9" s="27"/>
      <c r="E9" s="27"/>
      <c r="F9" s="28"/>
      <c r="G9" s="29"/>
      <c r="H9" s="29"/>
      <c r="I9" s="29"/>
      <c r="J9" s="29"/>
      <c r="K9" s="29"/>
      <c r="L9" s="29"/>
      <c r="M9" s="29"/>
      <c r="N9" s="29"/>
      <c r="O9" s="29"/>
      <c r="P9" s="30"/>
      <c r="Q9" s="29"/>
      <c r="R9" s="29"/>
    </row>
    <row r="10" ht="30.75" customHeight="1">
      <c r="A10" s="31"/>
      <c r="B10" s="32" t="s">
        <v>24</v>
      </c>
      <c r="C10" s="33" t="s">
        <v>25</v>
      </c>
      <c r="D10" s="34"/>
      <c r="E10" s="34"/>
      <c r="F10" s="35"/>
      <c r="G10" s="36"/>
      <c r="H10" s="36"/>
      <c r="I10" s="36"/>
      <c r="J10" s="36"/>
      <c r="K10" s="36"/>
      <c r="L10" s="36"/>
      <c r="M10" s="36"/>
      <c r="N10" s="36"/>
      <c r="O10" s="36"/>
      <c r="P10" s="37"/>
      <c r="Q10" s="36"/>
      <c r="R10" s="36"/>
    </row>
    <row r="11" ht="15.0" customHeight="1">
      <c r="A11" s="17" t="s">
        <v>26</v>
      </c>
      <c r="B11" s="18" t="s">
        <v>27</v>
      </c>
      <c r="C11" s="19" t="s">
        <v>28</v>
      </c>
      <c r="D11" s="38">
        <v>0.0</v>
      </c>
      <c r="E11" s="39"/>
      <c r="F11" s="40"/>
      <c r="G11" s="41">
        <v>48.0</v>
      </c>
      <c r="H11" s="41"/>
      <c r="I11" s="41"/>
      <c r="J11" s="41">
        <f>3+7</f>
        <v>10</v>
      </c>
      <c r="K11" s="41"/>
      <c r="L11" s="41"/>
      <c r="M11" s="41"/>
      <c r="N11" s="41"/>
      <c r="O11" s="41">
        <f>1+11</f>
        <v>12</v>
      </c>
      <c r="P11" s="41">
        <v>2.0</v>
      </c>
      <c r="Q11" s="41">
        <f>3</f>
        <v>3</v>
      </c>
      <c r="R11" s="41">
        <v>1.0</v>
      </c>
    </row>
    <row r="12" ht="30.75" customHeight="1">
      <c r="A12" s="24"/>
      <c r="B12" s="25" t="s">
        <v>29</v>
      </c>
      <c r="C12" s="26" t="s">
        <v>30</v>
      </c>
      <c r="D12" s="42"/>
      <c r="E12" s="42"/>
      <c r="F12" s="43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</row>
    <row r="13" ht="15.0" customHeight="1">
      <c r="A13" s="24"/>
      <c r="B13" s="25" t="s">
        <v>31</v>
      </c>
      <c r="C13" s="26" t="s">
        <v>32</v>
      </c>
      <c r="D13" s="42"/>
      <c r="E13" s="42"/>
      <c r="F13" s="43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</row>
    <row r="14" ht="15.0" customHeight="1">
      <c r="A14" s="24"/>
      <c r="B14" s="25" t="s">
        <v>33</v>
      </c>
      <c r="C14" s="26" t="s">
        <v>34</v>
      </c>
      <c r="D14" s="42"/>
      <c r="E14" s="42"/>
      <c r="F14" s="43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</row>
    <row r="15" ht="45.75" customHeight="1">
      <c r="A15" s="24"/>
      <c r="B15" s="25" t="s">
        <v>35</v>
      </c>
      <c r="C15" s="26" t="s">
        <v>36</v>
      </c>
      <c r="D15" s="42"/>
      <c r="E15" s="42"/>
      <c r="F15" s="43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</row>
    <row r="16" ht="30.75" customHeight="1">
      <c r="A16" s="24"/>
      <c r="B16" s="25" t="s">
        <v>37</v>
      </c>
      <c r="C16" s="26" t="s">
        <v>38</v>
      </c>
      <c r="D16" s="42"/>
      <c r="E16" s="42"/>
      <c r="F16" s="43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 ht="30.75" customHeight="1">
      <c r="A17" s="24"/>
      <c r="B17" s="25" t="s">
        <v>39</v>
      </c>
      <c r="C17" s="26" t="s">
        <v>40</v>
      </c>
      <c r="D17" s="42"/>
      <c r="E17" s="42"/>
      <c r="F17" s="43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</row>
    <row r="18" ht="15.0" customHeight="1">
      <c r="A18" s="24"/>
      <c r="B18" s="25" t="s">
        <v>41</v>
      </c>
      <c r="C18" s="26" t="s">
        <v>42</v>
      </c>
      <c r="D18" s="42"/>
      <c r="E18" s="42"/>
      <c r="F18" s="43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</row>
    <row r="19" ht="15.0" customHeight="1">
      <c r="A19" s="24"/>
      <c r="B19" s="25" t="s">
        <v>43</v>
      </c>
      <c r="C19" s="26" t="s">
        <v>44</v>
      </c>
      <c r="D19" s="42"/>
      <c r="E19" s="42"/>
      <c r="F19" s="43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</row>
    <row r="20" ht="45.75" customHeight="1">
      <c r="A20" s="24"/>
      <c r="B20" s="25" t="s">
        <v>45</v>
      </c>
      <c r="C20" s="26" t="s">
        <v>46</v>
      </c>
      <c r="D20" s="42"/>
      <c r="E20" s="42"/>
      <c r="F20" s="43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ht="15.0" customHeight="1">
      <c r="A21" s="24"/>
      <c r="B21" s="25" t="s">
        <v>47</v>
      </c>
      <c r="C21" s="26" t="s">
        <v>32</v>
      </c>
      <c r="D21" s="42"/>
      <c r="E21" s="42"/>
      <c r="F21" s="43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</row>
    <row r="22" ht="30.75" customHeight="1">
      <c r="A22" s="24"/>
      <c r="B22" s="25" t="s">
        <v>48</v>
      </c>
      <c r="C22" s="26" t="s">
        <v>49</v>
      </c>
      <c r="D22" s="42"/>
      <c r="E22" s="42"/>
      <c r="F22" s="43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</row>
    <row r="23" ht="15.0" customHeight="1">
      <c r="A23" s="24"/>
      <c r="B23" s="25" t="s">
        <v>50</v>
      </c>
      <c r="C23" s="26" t="s">
        <v>51</v>
      </c>
      <c r="D23" s="42"/>
      <c r="E23" s="42"/>
      <c r="F23" s="43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</row>
    <row r="24" ht="15.0" customHeight="1">
      <c r="A24" s="24"/>
      <c r="B24" s="25" t="s">
        <v>52</v>
      </c>
      <c r="C24" s="26" t="s">
        <v>53</v>
      </c>
      <c r="D24" s="42"/>
      <c r="E24" s="42"/>
      <c r="F24" s="43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</row>
    <row r="25" ht="15.0" customHeight="1">
      <c r="A25" s="24"/>
      <c r="B25" s="25" t="s">
        <v>54</v>
      </c>
      <c r="C25" s="26" t="s">
        <v>55</v>
      </c>
      <c r="D25" s="42"/>
      <c r="E25" s="42"/>
      <c r="F25" s="43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</row>
    <row r="26" ht="15.0" customHeight="1">
      <c r="A26" s="24"/>
      <c r="B26" s="25" t="s">
        <v>56</v>
      </c>
      <c r="C26" s="26" t="s">
        <v>57</v>
      </c>
      <c r="D26" s="42"/>
      <c r="E26" s="42"/>
      <c r="F26" s="43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</row>
    <row r="27" ht="15.0" customHeight="1">
      <c r="A27" s="24"/>
      <c r="B27" s="25" t="s">
        <v>58</v>
      </c>
      <c r="C27" s="26" t="s">
        <v>59</v>
      </c>
      <c r="D27" s="42"/>
      <c r="E27" s="42"/>
      <c r="F27" s="43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</row>
    <row r="28" ht="15.0" customHeight="1">
      <c r="A28" s="24"/>
      <c r="B28" s="25" t="s">
        <v>60</v>
      </c>
      <c r="C28" s="26" t="s">
        <v>61</v>
      </c>
      <c r="D28" s="42"/>
      <c r="E28" s="42"/>
      <c r="F28" s="43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</row>
    <row r="29" ht="15.0" customHeight="1">
      <c r="A29" s="24"/>
      <c r="B29" s="25" t="s">
        <v>62</v>
      </c>
      <c r="C29" s="26" t="s">
        <v>53</v>
      </c>
      <c r="D29" s="42"/>
      <c r="E29" s="42"/>
      <c r="F29" s="43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ht="15.0" customHeight="1">
      <c r="A30" s="24"/>
      <c r="B30" s="25" t="s">
        <v>63</v>
      </c>
      <c r="C30" s="26" t="s">
        <v>55</v>
      </c>
      <c r="D30" s="42"/>
      <c r="E30" s="42"/>
      <c r="F30" s="43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</row>
    <row r="31" ht="15.0" customHeight="1">
      <c r="A31" s="24"/>
      <c r="B31" s="25" t="s">
        <v>64</v>
      </c>
      <c r="C31" s="26" t="s">
        <v>57</v>
      </c>
      <c r="D31" s="42"/>
      <c r="E31" s="42"/>
      <c r="F31" s="43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</row>
    <row r="32" ht="15.0" customHeight="1">
      <c r="A32" s="24"/>
      <c r="B32" s="25" t="s">
        <v>65</v>
      </c>
      <c r="C32" s="26" t="s">
        <v>42</v>
      </c>
      <c r="D32" s="42"/>
      <c r="E32" s="42"/>
      <c r="F32" s="43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</row>
    <row r="33" ht="15.0" customHeight="1">
      <c r="A33" s="24"/>
      <c r="B33" s="25" t="s">
        <v>66</v>
      </c>
      <c r="C33" s="26" t="s">
        <v>67</v>
      </c>
      <c r="D33" s="42"/>
      <c r="E33" s="42"/>
      <c r="F33" s="43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 ht="15.0" customHeight="1">
      <c r="A34" s="24"/>
      <c r="B34" s="25" t="s">
        <v>68</v>
      </c>
      <c r="C34" s="26" t="s">
        <v>69</v>
      </c>
      <c r="D34" s="42"/>
      <c r="E34" s="42"/>
      <c r="F34" s="43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</row>
    <row r="35" ht="15.0" customHeight="1">
      <c r="A35" s="31"/>
      <c r="B35" s="32" t="s">
        <v>70</v>
      </c>
      <c r="C35" s="33" t="s">
        <v>32</v>
      </c>
      <c r="D35" s="44"/>
      <c r="E35" s="45">
        <v>48.0</v>
      </c>
      <c r="F35" s="46">
        <f>E35-D11</f>
        <v>48</v>
      </c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</row>
    <row r="36" ht="28.5" customHeight="1">
      <c r="A36" s="17" t="s">
        <v>71</v>
      </c>
      <c r="B36" s="18" t="s">
        <v>72</v>
      </c>
      <c r="C36" s="19" t="s">
        <v>73</v>
      </c>
      <c r="D36" s="39">
        <v>114.0</v>
      </c>
      <c r="E36" s="39"/>
      <c r="F36" s="40"/>
      <c r="G36" s="41">
        <v>41.0</v>
      </c>
      <c r="H36" s="41"/>
      <c r="I36" s="41"/>
      <c r="J36" s="41"/>
      <c r="K36" s="41">
        <v>38.0</v>
      </c>
      <c r="L36" s="41"/>
      <c r="M36" s="41"/>
      <c r="N36" s="41"/>
      <c r="O36" s="41">
        <f>38</f>
        <v>38</v>
      </c>
      <c r="P36" s="41">
        <v>1.0</v>
      </c>
      <c r="Q36" s="41">
        <v>24.0</v>
      </c>
      <c r="R36" s="41">
        <v>2.0</v>
      </c>
    </row>
    <row r="37" ht="45.0" customHeight="1">
      <c r="A37" s="24"/>
      <c r="B37" s="25" t="s">
        <v>74</v>
      </c>
      <c r="C37" s="26" t="s">
        <v>75</v>
      </c>
      <c r="D37" s="42"/>
      <c r="E37" s="42"/>
      <c r="F37" s="43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 ht="45.0" customHeight="1">
      <c r="A38" s="24"/>
      <c r="B38" s="25" t="s">
        <v>76</v>
      </c>
      <c r="C38" s="26" t="s">
        <v>77</v>
      </c>
      <c r="D38" s="42"/>
      <c r="E38" s="42"/>
      <c r="F38" s="43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</row>
    <row r="39" ht="30.0" customHeight="1">
      <c r="A39" s="24"/>
      <c r="B39" s="25" t="s">
        <v>78</v>
      </c>
      <c r="C39" s="26" t="s">
        <v>79</v>
      </c>
      <c r="D39" s="42"/>
      <c r="E39" s="42"/>
      <c r="F39" s="43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</row>
    <row r="40" ht="60.0" customHeight="1">
      <c r="A40" s="24"/>
      <c r="B40" s="25" t="s">
        <v>80</v>
      </c>
      <c r="C40" s="26" t="s">
        <v>81</v>
      </c>
      <c r="D40" s="42"/>
      <c r="E40" s="42"/>
      <c r="F40" s="43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</row>
    <row r="41">
      <c r="A41" s="31"/>
      <c r="B41" s="32" t="s">
        <v>82</v>
      </c>
      <c r="C41" s="33" t="s">
        <v>83</v>
      </c>
      <c r="D41" s="44"/>
      <c r="E41" s="44">
        <v>155.0</v>
      </c>
      <c r="F41" s="47">
        <f>E41-D36</f>
        <v>41</v>
      </c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</row>
    <row r="42" ht="28.5" customHeight="1">
      <c r="A42" s="17" t="s">
        <v>84</v>
      </c>
      <c r="B42" s="18" t="s">
        <v>85</v>
      </c>
      <c r="C42" s="19" t="s">
        <v>34</v>
      </c>
      <c r="D42" s="48">
        <v>48.0</v>
      </c>
      <c r="E42" s="39"/>
      <c r="F42" s="40"/>
      <c r="G42" s="41">
        <f>53</f>
        <v>53</v>
      </c>
      <c r="H42" s="41"/>
      <c r="I42" s="41"/>
      <c r="J42" s="41">
        <f>3+5+3</f>
        <v>11</v>
      </c>
      <c r="K42" s="41"/>
      <c r="L42" s="41"/>
      <c r="M42" s="41"/>
      <c r="N42" s="41"/>
      <c r="O42" s="41">
        <f>8+5+3+3</f>
        <v>19</v>
      </c>
      <c r="P42" s="41">
        <v>2.0</v>
      </c>
      <c r="Q42" s="41">
        <v>14.0</v>
      </c>
      <c r="R42" s="41">
        <v>1.0</v>
      </c>
    </row>
    <row r="43" ht="15.0" customHeight="1">
      <c r="A43" s="24"/>
      <c r="B43" s="25" t="s">
        <v>86</v>
      </c>
      <c r="C43" s="26" t="s">
        <v>87</v>
      </c>
      <c r="D43" s="42"/>
      <c r="E43" s="42"/>
      <c r="F43" s="43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</row>
    <row r="44" ht="15.0" customHeight="1">
      <c r="A44" s="24"/>
      <c r="B44" s="25" t="s">
        <v>88</v>
      </c>
      <c r="C44" s="26" t="s">
        <v>89</v>
      </c>
      <c r="D44" s="42"/>
      <c r="E44" s="42"/>
      <c r="F44" s="43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</row>
    <row r="45" ht="60.0" customHeight="1">
      <c r="A45" s="24"/>
      <c r="B45" s="25" t="s">
        <v>90</v>
      </c>
      <c r="C45" s="26" t="s">
        <v>91</v>
      </c>
      <c r="D45" s="42"/>
      <c r="E45" s="42"/>
      <c r="F45" s="43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</row>
    <row r="46" ht="15.0" customHeight="1">
      <c r="A46" s="24"/>
      <c r="B46" s="25" t="s">
        <v>92</v>
      </c>
      <c r="C46" s="26" t="s">
        <v>42</v>
      </c>
      <c r="D46" s="42"/>
      <c r="E46" s="42"/>
      <c r="F46" s="43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</row>
    <row r="47" ht="15.0" customHeight="1">
      <c r="A47" s="24"/>
      <c r="B47" s="25" t="s">
        <v>93</v>
      </c>
      <c r="C47" s="26" t="s">
        <v>44</v>
      </c>
      <c r="D47" s="42"/>
      <c r="E47" s="42"/>
      <c r="F47" s="43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</row>
    <row r="48" ht="45.0" customHeight="1">
      <c r="A48" s="24"/>
      <c r="B48" s="25" t="s">
        <v>94</v>
      </c>
      <c r="C48" s="26" t="s">
        <v>46</v>
      </c>
      <c r="D48" s="42"/>
      <c r="E48" s="42"/>
      <c r="F48" s="43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</row>
    <row r="49" ht="15.0" customHeight="1">
      <c r="A49" s="24"/>
      <c r="B49" s="25" t="s">
        <v>95</v>
      </c>
      <c r="C49" s="26" t="s">
        <v>32</v>
      </c>
      <c r="D49" s="42"/>
      <c r="E49" s="42"/>
      <c r="F49" s="43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</row>
    <row r="50" ht="30.0" customHeight="1">
      <c r="A50" s="24"/>
      <c r="B50" s="25" t="s">
        <v>96</v>
      </c>
      <c r="C50" s="26" t="s">
        <v>97</v>
      </c>
      <c r="D50" s="42"/>
      <c r="E50" s="42"/>
      <c r="F50" s="43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</row>
    <row r="51" ht="15.0" customHeight="1">
      <c r="A51" s="24"/>
      <c r="B51" s="25" t="s">
        <v>98</v>
      </c>
      <c r="C51" s="26" t="s">
        <v>99</v>
      </c>
      <c r="D51" s="42"/>
      <c r="E51" s="42"/>
      <c r="F51" s="43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</row>
    <row r="52" ht="45.0" customHeight="1">
      <c r="A52" s="24"/>
      <c r="B52" s="25" t="s">
        <v>100</v>
      </c>
      <c r="C52" s="26" t="s">
        <v>101</v>
      </c>
      <c r="D52" s="42"/>
      <c r="E52" s="42"/>
      <c r="F52" s="43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</row>
    <row r="53" ht="30.0" customHeight="1">
      <c r="A53" s="24"/>
      <c r="B53" s="25" t="s">
        <v>102</v>
      </c>
      <c r="C53" s="26" t="s">
        <v>103</v>
      </c>
      <c r="D53" s="42"/>
      <c r="E53" s="42"/>
      <c r="F53" s="43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</row>
    <row r="54" ht="15.0" customHeight="1">
      <c r="A54" s="24"/>
      <c r="B54" s="25">
        <v>0.2152777777777778</v>
      </c>
      <c r="C54" s="26" t="s">
        <v>42</v>
      </c>
      <c r="D54" s="42"/>
      <c r="E54" s="42"/>
      <c r="F54" s="43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</row>
    <row r="55" ht="15.0" customHeight="1">
      <c r="A55" s="24"/>
      <c r="B55" s="25" t="s">
        <v>104</v>
      </c>
      <c r="C55" s="26" t="s">
        <v>67</v>
      </c>
      <c r="D55" s="42"/>
      <c r="E55" s="42"/>
      <c r="F55" s="43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</row>
    <row r="56" ht="15.0" customHeight="1">
      <c r="A56" s="24"/>
      <c r="B56" s="25" t="s">
        <v>105</v>
      </c>
      <c r="C56" s="26" t="s">
        <v>69</v>
      </c>
      <c r="D56" s="42"/>
      <c r="E56" s="42"/>
      <c r="F56" s="43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</row>
    <row r="57" ht="15.0" customHeight="1">
      <c r="A57" s="24"/>
      <c r="B57" s="25" t="s">
        <v>106</v>
      </c>
      <c r="C57" s="26" t="s">
        <v>107</v>
      </c>
      <c r="D57" s="42"/>
      <c r="E57" s="42"/>
      <c r="F57" s="43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</row>
    <row r="58" ht="30.75" customHeight="1">
      <c r="A58" s="31"/>
      <c r="B58" s="32" t="s">
        <v>108</v>
      </c>
      <c r="C58" s="33" t="s">
        <v>109</v>
      </c>
      <c r="D58" s="44"/>
      <c r="E58" s="44"/>
      <c r="F58" s="47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</row>
    <row r="59" ht="15.75" customHeight="1">
      <c r="A59" s="26"/>
      <c r="B59" s="25">
        <v>0.21875</v>
      </c>
      <c r="C59" s="26" t="s">
        <v>110</v>
      </c>
      <c r="D59" s="42"/>
      <c r="E59" s="49">
        <v>101.0</v>
      </c>
      <c r="F59" s="43">
        <f>E59-D42</f>
        <v>53</v>
      </c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</row>
    <row r="60" ht="28.5" customHeight="1">
      <c r="A60" s="17"/>
      <c r="B60" s="18"/>
      <c r="C60" s="19"/>
      <c r="D60" s="39"/>
      <c r="E60" s="39"/>
      <c r="F60" s="40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</row>
    <row r="61" ht="30.0" customHeight="1">
      <c r="A61" s="24"/>
      <c r="B61" s="25"/>
      <c r="C61" s="26"/>
      <c r="D61" s="42"/>
      <c r="E61" s="42"/>
      <c r="F61" s="43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</row>
    <row r="62" ht="30.0" customHeight="1">
      <c r="A62" s="24"/>
      <c r="B62" s="25"/>
      <c r="C62" s="26"/>
      <c r="D62" s="42"/>
      <c r="E62" s="42"/>
      <c r="F62" s="43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</row>
    <row r="63" ht="75.0" customHeight="1">
      <c r="A63" s="24"/>
      <c r="B63" s="25"/>
      <c r="C63" s="26"/>
      <c r="D63" s="42"/>
      <c r="E63" s="42"/>
      <c r="F63" s="43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</row>
    <row r="64" ht="45.0" customHeight="1">
      <c r="A64" s="24"/>
      <c r="B64" s="25"/>
      <c r="C64" s="26"/>
      <c r="D64" s="42"/>
      <c r="E64" s="42"/>
      <c r="F64" s="43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</row>
    <row r="65" ht="30.0" customHeight="1">
      <c r="A65" s="24"/>
      <c r="B65" s="25"/>
      <c r="C65" s="26"/>
      <c r="D65" s="42"/>
      <c r="E65" s="42"/>
      <c r="F65" s="43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</row>
    <row r="66">
      <c r="A66" s="31"/>
      <c r="B66" s="32"/>
      <c r="C66" s="33"/>
      <c r="D66" s="44"/>
      <c r="E66" s="44"/>
      <c r="F66" s="47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</row>
    <row r="67" ht="30.0" customHeight="1">
      <c r="A67" s="17"/>
      <c r="B67" s="18"/>
      <c r="C67" s="19"/>
      <c r="D67" s="39"/>
      <c r="E67" s="39"/>
      <c r="F67" s="40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</row>
    <row r="68" ht="15.0" customHeight="1">
      <c r="A68" s="24"/>
      <c r="B68" s="25"/>
      <c r="C68" s="26"/>
      <c r="D68" s="42"/>
      <c r="E68" s="42"/>
      <c r="F68" s="43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</row>
    <row r="69" ht="30.0" customHeight="1">
      <c r="A69" s="24"/>
      <c r="B69" s="25"/>
      <c r="C69" s="26"/>
      <c r="D69" s="42"/>
      <c r="E69" s="42"/>
      <c r="F69" s="43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</row>
    <row r="70" ht="30.75" customHeight="1">
      <c r="A70" s="31"/>
      <c r="B70" s="32"/>
      <c r="C70" s="33"/>
      <c r="D70" s="44"/>
      <c r="E70" s="44"/>
      <c r="F70" s="47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</row>
    <row r="71" ht="15.0" customHeight="1">
      <c r="A71" s="17"/>
      <c r="B71" s="18"/>
      <c r="C71" s="19"/>
      <c r="D71" s="39"/>
      <c r="E71" s="39"/>
      <c r="F71" s="40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</row>
    <row r="72" ht="60.0" customHeight="1">
      <c r="A72" s="24"/>
      <c r="B72" s="25"/>
      <c r="C72" s="26"/>
      <c r="D72" s="42"/>
      <c r="E72" s="42"/>
      <c r="F72" s="43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</row>
    <row r="73" ht="30.75" customHeight="1">
      <c r="A73" s="31"/>
      <c r="B73" s="32"/>
      <c r="C73" s="33"/>
      <c r="D73" s="44"/>
      <c r="E73" s="44"/>
      <c r="F73" s="47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</row>
    <row r="74">
      <c r="A74" s="1"/>
      <c r="C74" s="1"/>
    </row>
    <row r="75">
      <c r="A75" s="1"/>
      <c r="C75" s="1"/>
    </row>
    <row r="76">
      <c r="A76" s="1"/>
      <c r="C76" s="1"/>
    </row>
    <row r="77">
      <c r="A77" s="1"/>
      <c r="C77" s="1"/>
    </row>
    <row r="78">
      <c r="A78" s="1"/>
      <c r="C78" s="1"/>
    </row>
    <row r="79">
      <c r="A79" s="1"/>
      <c r="C79" s="1"/>
    </row>
    <row r="80">
      <c r="A80" s="1"/>
      <c r="C80" s="1"/>
    </row>
    <row r="81">
      <c r="A81" s="1"/>
      <c r="C81" s="1"/>
    </row>
    <row r="82">
      <c r="A82" s="1"/>
      <c r="C82" s="1"/>
    </row>
    <row r="83">
      <c r="A83" s="1"/>
      <c r="C83" s="1"/>
    </row>
    <row r="84">
      <c r="A84" s="1"/>
      <c r="C84" s="1"/>
    </row>
    <row r="85">
      <c r="A85" s="1"/>
      <c r="C85" s="1"/>
    </row>
    <row r="86">
      <c r="A86" s="1"/>
      <c r="C86" s="1"/>
    </row>
    <row r="87">
      <c r="A87" s="1"/>
      <c r="C87" s="1"/>
    </row>
    <row r="88">
      <c r="A88" s="1"/>
      <c r="C88" s="1"/>
    </row>
    <row r="89">
      <c r="A89" s="1"/>
      <c r="C89" s="1"/>
    </row>
    <row r="90">
      <c r="A90" s="1"/>
      <c r="C90" s="1"/>
    </row>
    <row r="91">
      <c r="A91" s="1"/>
      <c r="C91" s="1"/>
    </row>
    <row r="92">
      <c r="A92" s="1"/>
      <c r="C92" s="1"/>
    </row>
    <row r="93">
      <c r="A93" s="1"/>
      <c r="C93" s="1"/>
    </row>
    <row r="94">
      <c r="A94" s="1"/>
      <c r="C94" s="1"/>
    </row>
    <row r="95">
      <c r="A95" s="1"/>
      <c r="C95" s="1"/>
    </row>
    <row r="96">
      <c r="A96" s="1"/>
      <c r="C96" s="1"/>
    </row>
    <row r="97">
      <c r="A97" s="1"/>
      <c r="C97" s="1"/>
    </row>
    <row r="98">
      <c r="A98" s="1"/>
      <c r="C98" s="1"/>
    </row>
    <row r="99">
      <c r="A99" s="1"/>
      <c r="C99" s="1"/>
    </row>
    <row r="100">
      <c r="A100" s="1"/>
      <c r="C100" s="1"/>
    </row>
    <row r="101">
      <c r="A101" s="1"/>
      <c r="C101" s="1"/>
    </row>
    <row r="102">
      <c r="A102" s="1"/>
      <c r="C102" s="1"/>
    </row>
    <row r="103">
      <c r="A103" s="1"/>
      <c r="C103" s="1"/>
    </row>
    <row r="104">
      <c r="A104" s="1"/>
      <c r="C104" s="1"/>
    </row>
    <row r="105">
      <c r="A105" s="1"/>
      <c r="C105" s="1"/>
    </row>
    <row r="106">
      <c r="A106" s="1"/>
      <c r="C106" s="1"/>
    </row>
    <row r="107">
      <c r="A107" s="1"/>
      <c r="C107" s="1"/>
    </row>
    <row r="108">
      <c r="A108" s="1"/>
      <c r="C108" s="1"/>
    </row>
    <row r="109">
      <c r="A109" s="1"/>
      <c r="C109" s="1"/>
    </row>
    <row r="110">
      <c r="A110" s="1"/>
      <c r="C110" s="1"/>
    </row>
    <row r="111">
      <c r="A111" s="1"/>
      <c r="C111" s="1"/>
    </row>
    <row r="112">
      <c r="A112" s="1"/>
      <c r="C112" s="1"/>
    </row>
    <row r="113">
      <c r="A113" s="1"/>
      <c r="C113" s="1"/>
    </row>
    <row r="114">
      <c r="A114" s="1"/>
      <c r="C114" s="1"/>
    </row>
    <row r="115">
      <c r="A115" s="1"/>
      <c r="C115" s="1"/>
    </row>
    <row r="116">
      <c r="A116" s="1"/>
      <c r="C116" s="1"/>
    </row>
    <row r="117">
      <c r="A117" s="1"/>
      <c r="C117" s="1"/>
    </row>
    <row r="118">
      <c r="A118" s="1"/>
      <c r="C118" s="1"/>
    </row>
    <row r="119">
      <c r="A119" s="1"/>
      <c r="C119" s="1"/>
    </row>
    <row r="120">
      <c r="A120" s="1"/>
      <c r="C120" s="1"/>
    </row>
    <row r="121">
      <c r="A121" s="1"/>
      <c r="C121" s="1"/>
    </row>
    <row r="122">
      <c r="A122" s="1"/>
      <c r="C122" s="1"/>
    </row>
    <row r="123">
      <c r="A123" s="1"/>
      <c r="C123" s="1"/>
    </row>
    <row r="124">
      <c r="A124" s="1"/>
      <c r="C124" s="1"/>
    </row>
    <row r="125">
      <c r="A125" s="1"/>
      <c r="C125" s="1"/>
    </row>
    <row r="126">
      <c r="A126" s="1"/>
      <c r="C126" s="1"/>
    </row>
    <row r="127">
      <c r="A127" s="1"/>
      <c r="C127" s="1"/>
    </row>
    <row r="128">
      <c r="A128" s="1"/>
      <c r="C128" s="1"/>
    </row>
    <row r="129">
      <c r="A129" s="1"/>
      <c r="C129" s="1"/>
    </row>
    <row r="130">
      <c r="A130" s="1"/>
      <c r="C130" s="1"/>
    </row>
    <row r="131">
      <c r="A131" s="1"/>
      <c r="C131" s="1"/>
    </row>
    <row r="132">
      <c r="A132" s="1"/>
      <c r="C132" s="1"/>
    </row>
    <row r="133">
      <c r="A133" s="1"/>
      <c r="C133" s="1"/>
    </row>
    <row r="134">
      <c r="A134" s="1"/>
      <c r="C134" s="1"/>
    </row>
    <row r="135">
      <c r="A135" s="1"/>
      <c r="C135" s="1"/>
    </row>
    <row r="136">
      <c r="A136" s="1"/>
      <c r="C136" s="1"/>
    </row>
    <row r="137">
      <c r="A137" s="1"/>
      <c r="C137" s="1"/>
    </row>
    <row r="138">
      <c r="A138" s="1"/>
      <c r="C138" s="1"/>
    </row>
    <row r="139">
      <c r="A139" s="1"/>
      <c r="C139" s="1"/>
    </row>
    <row r="140">
      <c r="A140" s="1"/>
      <c r="C140" s="1"/>
    </row>
    <row r="141">
      <c r="A141" s="1"/>
      <c r="C141" s="1"/>
    </row>
    <row r="142">
      <c r="A142" s="1"/>
      <c r="C142" s="1"/>
    </row>
    <row r="143">
      <c r="A143" s="1"/>
      <c r="C143" s="1"/>
    </row>
    <row r="144">
      <c r="A144" s="1"/>
      <c r="C144" s="1"/>
    </row>
    <row r="145">
      <c r="A145" s="1"/>
      <c r="C145" s="1"/>
    </row>
    <row r="146">
      <c r="A146" s="1"/>
      <c r="C146" s="1"/>
    </row>
    <row r="147">
      <c r="A147" s="1"/>
      <c r="C147" s="1"/>
    </row>
    <row r="148">
      <c r="A148" s="1"/>
      <c r="C148" s="1"/>
    </row>
    <row r="149">
      <c r="A149" s="1"/>
      <c r="C149" s="1"/>
    </row>
    <row r="150">
      <c r="A150" s="1"/>
      <c r="C150" s="1"/>
    </row>
    <row r="151">
      <c r="A151" s="1"/>
      <c r="C151" s="1"/>
    </row>
    <row r="152">
      <c r="A152" s="1"/>
      <c r="C152" s="1"/>
    </row>
    <row r="153">
      <c r="A153" s="1"/>
      <c r="C153" s="1"/>
    </row>
    <row r="154">
      <c r="A154" s="1"/>
      <c r="C154" s="1"/>
    </row>
    <row r="155">
      <c r="A155" s="1"/>
      <c r="C155" s="1"/>
    </row>
    <row r="156">
      <c r="A156" s="1"/>
      <c r="C156" s="1"/>
    </row>
    <row r="157">
      <c r="A157" s="1"/>
      <c r="C157" s="1"/>
    </row>
    <row r="158">
      <c r="A158" s="1"/>
      <c r="C158" s="1"/>
    </row>
    <row r="159">
      <c r="A159" s="1"/>
      <c r="C159" s="1"/>
    </row>
    <row r="160">
      <c r="A160" s="1"/>
      <c r="C160" s="1"/>
    </row>
    <row r="161">
      <c r="A161" s="1"/>
      <c r="C161" s="1"/>
    </row>
    <row r="162">
      <c r="A162" s="1"/>
      <c r="C162" s="1"/>
    </row>
    <row r="163">
      <c r="A163" s="1"/>
      <c r="C163" s="1"/>
    </row>
    <row r="164">
      <c r="A164" s="1"/>
      <c r="C164" s="1"/>
    </row>
    <row r="165">
      <c r="A165" s="1"/>
      <c r="C165" s="1"/>
    </row>
    <row r="166">
      <c r="A166" s="1"/>
      <c r="C166" s="1"/>
    </row>
    <row r="167">
      <c r="A167" s="1"/>
      <c r="C167" s="1"/>
    </row>
    <row r="168">
      <c r="A168" s="1"/>
      <c r="C168" s="1"/>
    </row>
    <row r="169">
      <c r="A169" s="1"/>
      <c r="C169" s="1"/>
    </row>
    <row r="170">
      <c r="A170" s="1"/>
      <c r="C170" s="1"/>
    </row>
    <row r="171">
      <c r="A171" s="1"/>
      <c r="C171" s="1"/>
    </row>
    <row r="172">
      <c r="A172" s="1"/>
      <c r="C172" s="1"/>
    </row>
    <row r="173">
      <c r="A173" s="1"/>
      <c r="C173" s="1"/>
    </row>
    <row r="174">
      <c r="A174" s="1"/>
      <c r="C174" s="1"/>
    </row>
    <row r="175">
      <c r="A175" s="1"/>
      <c r="C175" s="1"/>
    </row>
    <row r="176">
      <c r="A176" s="1"/>
      <c r="C176" s="1"/>
    </row>
    <row r="177">
      <c r="A177" s="1"/>
      <c r="C177" s="1"/>
    </row>
    <row r="178">
      <c r="A178" s="1"/>
      <c r="C178" s="1"/>
    </row>
    <row r="179">
      <c r="A179" s="1"/>
      <c r="C179" s="1"/>
    </row>
    <row r="180">
      <c r="A180" s="1"/>
      <c r="C180" s="1"/>
    </row>
    <row r="181">
      <c r="A181" s="1"/>
      <c r="C181" s="1"/>
    </row>
    <row r="182">
      <c r="A182" s="1"/>
      <c r="C182" s="1"/>
    </row>
    <row r="183">
      <c r="A183" s="1"/>
      <c r="C183" s="1"/>
    </row>
    <row r="184">
      <c r="A184" s="1"/>
      <c r="C184" s="1"/>
    </row>
    <row r="185">
      <c r="A185" s="1"/>
      <c r="C185" s="1"/>
    </row>
    <row r="186">
      <c r="A186" s="1"/>
      <c r="C186" s="1"/>
    </row>
    <row r="187">
      <c r="A187" s="1"/>
      <c r="C187" s="1"/>
    </row>
    <row r="188">
      <c r="A188" s="1"/>
      <c r="C188" s="1"/>
    </row>
    <row r="189">
      <c r="A189" s="1"/>
      <c r="C189" s="1"/>
    </row>
    <row r="190">
      <c r="A190" s="1"/>
      <c r="C190" s="1"/>
    </row>
    <row r="191">
      <c r="A191" s="1"/>
      <c r="C191" s="1"/>
    </row>
    <row r="192">
      <c r="A192" s="1"/>
      <c r="C192" s="1"/>
    </row>
    <row r="193">
      <c r="A193" s="1"/>
      <c r="C193" s="1"/>
    </row>
    <row r="194">
      <c r="A194" s="1"/>
      <c r="C194" s="1"/>
    </row>
    <row r="195">
      <c r="A195" s="1"/>
      <c r="C195" s="1"/>
    </row>
    <row r="196">
      <c r="A196" s="1"/>
      <c r="C196" s="1"/>
    </row>
    <row r="197">
      <c r="A197" s="1"/>
      <c r="C197" s="1"/>
    </row>
    <row r="198">
      <c r="A198" s="1"/>
      <c r="C198" s="1"/>
    </row>
    <row r="199">
      <c r="A199" s="1"/>
      <c r="C199" s="1"/>
    </row>
    <row r="200">
      <c r="A200" s="1"/>
      <c r="C200" s="1"/>
    </row>
    <row r="201">
      <c r="A201" s="1"/>
      <c r="C201" s="1"/>
    </row>
    <row r="202">
      <c r="A202" s="1"/>
      <c r="C202" s="1"/>
    </row>
    <row r="203">
      <c r="A203" s="1"/>
      <c r="C203" s="1"/>
    </row>
    <row r="204">
      <c r="A204" s="1"/>
      <c r="C204" s="1"/>
    </row>
    <row r="205">
      <c r="A205" s="1"/>
      <c r="C205" s="1"/>
    </row>
    <row r="206">
      <c r="A206" s="1"/>
      <c r="C206" s="1"/>
    </row>
    <row r="207">
      <c r="A207" s="1"/>
      <c r="C207" s="1"/>
    </row>
    <row r="208">
      <c r="A208" s="1"/>
      <c r="C208" s="1"/>
    </row>
    <row r="209">
      <c r="A209" s="1"/>
      <c r="C209" s="1"/>
    </row>
    <row r="210">
      <c r="A210" s="1"/>
      <c r="C210" s="1"/>
    </row>
    <row r="211">
      <c r="A211" s="1"/>
      <c r="C211" s="1"/>
    </row>
    <row r="212">
      <c r="A212" s="1"/>
      <c r="C212" s="1"/>
    </row>
    <row r="213">
      <c r="A213" s="1"/>
      <c r="C213" s="1"/>
    </row>
    <row r="214">
      <c r="A214" s="1"/>
      <c r="C214" s="1"/>
    </row>
    <row r="215">
      <c r="A215" s="1"/>
      <c r="C215" s="1"/>
    </row>
    <row r="216">
      <c r="A216" s="1"/>
      <c r="C216" s="1"/>
    </row>
    <row r="217">
      <c r="A217" s="1"/>
      <c r="C217" s="1"/>
    </row>
    <row r="218">
      <c r="A218" s="1"/>
      <c r="C218" s="1"/>
    </row>
    <row r="219">
      <c r="A219" s="1"/>
      <c r="C219" s="1"/>
    </row>
    <row r="220">
      <c r="A220" s="1"/>
      <c r="C220" s="1"/>
    </row>
    <row r="221">
      <c r="A221" s="1"/>
      <c r="C221" s="1"/>
    </row>
    <row r="222">
      <c r="A222" s="1"/>
      <c r="C222" s="1"/>
    </row>
    <row r="223">
      <c r="A223" s="1"/>
      <c r="C223" s="1"/>
    </row>
    <row r="224">
      <c r="A224" s="1"/>
      <c r="C224" s="1"/>
    </row>
    <row r="225">
      <c r="A225" s="1"/>
      <c r="C225" s="1"/>
    </row>
    <row r="226">
      <c r="A226" s="1"/>
      <c r="C226" s="1"/>
    </row>
    <row r="227">
      <c r="A227" s="1"/>
      <c r="C227" s="1"/>
    </row>
    <row r="228">
      <c r="A228" s="1"/>
      <c r="C228" s="1"/>
    </row>
    <row r="229">
      <c r="A229" s="1"/>
      <c r="C229" s="1"/>
    </row>
    <row r="230">
      <c r="A230" s="1"/>
      <c r="C230" s="1"/>
    </row>
    <row r="231">
      <c r="A231" s="1"/>
      <c r="C231" s="1"/>
    </row>
    <row r="232">
      <c r="A232" s="1"/>
      <c r="C232" s="1"/>
    </row>
    <row r="233">
      <c r="A233" s="1"/>
      <c r="C233" s="1"/>
    </row>
    <row r="234">
      <c r="A234" s="1"/>
      <c r="C234" s="1"/>
    </row>
    <row r="235">
      <c r="A235" s="1"/>
      <c r="C235" s="1"/>
    </row>
    <row r="236">
      <c r="A236" s="1"/>
      <c r="C236" s="1"/>
    </row>
    <row r="237">
      <c r="A237" s="1"/>
      <c r="C237" s="1"/>
    </row>
    <row r="238">
      <c r="A238" s="1"/>
      <c r="C238" s="1"/>
    </row>
    <row r="239">
      <c r="A239" s="1"/>
      <c r="C239" s="1"/>
    </row>
    <row r="240">
      <c r="A240" s="1"/>
      <c r="C240" s="1"/>
    </row>
    <row r="241">
      <c r="A241" s="1"/>
      <c r="C241" s="1"/>
    </row>
    <row r="242">
      <c r="A242" s="1"/>
      <c r="C242" s="1"/>
    </row>
    <row r="243">
      <c r="A243" s="1"/>
      <c r="C243" s="1"/>
    </row>
    <row r="244">
      <c r="A244" s="1"/>
      <c r="C244" s="1"/>
    </row>
    <row r="245">
      <c r="A245" s="1"/>
      <c r="C245" s="1"/>
    </row>
    <row r="246">
      <c r="A246" s="1"/>
      <c r="C246" s="1"/>
    </row>
    <row r="247">
      <c r="A247" s="1"/>
      <c r="C247" s="1"/>
    </row>
    <row r="248">
      <c r="A248" s="1"/>
      <c r="C248" s="1"/>
    </row>
    <row r="249">
      <c r="A249" s="1"/>
      <c r="C249" s="1"/>
    </row>
    <row r="250">
      <c r="A250" s="1"/>
      <c r="C250" s="1"/>
    </row>
    <row r="251">
      <c r="A251" s="1"/>
      <c r="C251" s="1"/>
    </row>
    <row r="252">
      <c r="A252" s="1"/>
      <c r="C252" s="1"/>
    </row>
    <row r="253">
      <c r="A253" s="1"/>
      <c r="C253" s="1"/>
    </row>
    <row r="254">
      <c r="A254" s="1"/>
      <c r="C254" s="1"/>
    </row>
    <row r="255">
      <c r="A255" s="1"/>
      <c r="C255" s="1"/>
    </row>
    <row r="256">
      <c r="A256" s="1"/>
      <c r="C256" s="1"/>
    </row>
    <row r="257">
      <c r="A257" s="1"/>
      <c r="C257" s="1"/>
    </row>
    <row r="258">
      <c r="A258" s="1"/>
      <c r="C258" s="1"/>
    </row>
    <row r="259">
      <c r="A259" s="1"/>
      <c r="C259" s="1"/>
    </row>
    <row r="260">
      <c r="A260" s="1"/>
      <c r="C260" s="1"/>
    </row>
    <row r="261">
      <c r="A261" s="1"/>
      <c r="C261" s="1"/>
    </row>
    <row r="262">
      <c r="A262" s="1"/>
      <c r="C262" s="1"/>
    </row>
    <row r="263">
      <c r="A263" s="1"/>
      <c r="C263" s="1"/>
    </row>
    <row r="264">
      <c r="A264" s="1"/>
      <c r="C264" s="1"/>
    </row>
    <row r="265">
      <c r="A265" s="1"/>
      <c r="C265" s="1"/>
    </row>
    <row r="266">
      <c r="A266" s="1"/>
      <c r="C266" s="1"/>
    </row>
    <row r="267">
      <c r="A267" s="1"/>
      <c r="C267" s="1"/>
    </row>
    <row r="268">
      <c r="A268" s="1"/>
      <c r="C268" s="1"/>
    </row>
    <row r="269">
      <c r="A269" s="1"/>
      <c r="C269" s="1"/>
    </row>
    <row r="270">
      <c r="A270" s="1"/>
      <c r="C270" s="1"/>
    </row>
    <row r="271">
      <c r="A271" s="1"/>
      <c r="C271" s="1"/>
    </row>
    <row r="272">
      <c r="A272" s="1"/>
      <c r="C272" s="1"/>
    </row>
    <row r="273">
      <c r="A273" s="1"/>
      <c r="C273" s="1"/>
    </row>
    <row r="274">
      <c r="A274" s="1"/>
      <c r="C274" s="1"/>
    </row>
    <row r="275">
      <c r="A275" s="1"/>
      <c r="C275" s="1"/>
    </row>
    <row r="276">
      <c r="A276" s="1"/>
      <c r="C276" s="1"/>
    </row>
    <row r="277">
      <c r="A277" s="1"/>
      <c r="C277" s="1"/>
    </row>
    <row r="278">
      <c r="A278" s="1"/>
      <c r="C278" s="1"/>
    </row>
    <row r="279">
      <c r="A279" s="1"/>
      <c r="C279" s="1"/>
    </row>
    <row r="280">
      <c r="A280" s="1"/>
      <c r="C280" s="1"/>
    </row>
    <row r="281">
      <c r="A281" s="1"/>
      <c r="C281" s="1"/>
    </row>
    <row r="282">
      <c r="A282" s="1"/>
      <c r="C282" s="1"/>
    </row>
    <row r="283">
      <c r="A283" s="1"/>
      <c r="C283" s="1"/>
    </row>
    <row r="284">
      <c r="A284" s="1"/>
      <c r="C284" s="1"/>
    </row>
    <row r="285">
      <c r="A285" s="1"/>
      <c r="C285" s="1"/>
    </row>
    <row r="286">
      <c r="A286" s="1"/>
      <c r="C286" s="1"/>
    </row>
    <row r="287">
      <c r="A287" s="1"/>
      <c r="C287" s="1"/>
    </row>
    <row r="288">
      <c r="A288" s="1"/>
      <c r="C288" s="1"/>
    </row>
    <row r="289">
      <c r="A289" s="1"/>
      <c r="C289" s="1"/>
    </row>
    <row r="290">
      <c r="A290" s="1"/>
      <c r="C290" s="1"/>
    </row>
    <row r="291">
      <c r="A291" s="1"/>
      <c r="C291" s="1"/>
    </row>
    <row r="292">
      <c r="A292" s="1"/>
      <c r="C292" s="1"/>
    </row>
    <row r="293">
      <c r="A293" s="1"/>
      <c r="C293" s="1"/>
    </row>
    <row r="294">
      <c r="A294" s="1"/>
      <c r="C294" s="1"/>
    </row>
    <row r="295">
      <c r="A295" s="1"/>
      <c r="C295" s="1"/>
    </row>
    <row r="296">
      <c r="A296" s="1"/>
      <c r="C296" s="1"/>
    </row>
    <row r="297">
      <c r="A297" s="1"/>
      <c r="C297" s="1"/>
    </row>
    <row r="298">
      <c r="A298" s="1"/>
      <c r="C298" s="1"/>
    </row>
    <row r="299">
      <c r="A299" s="1"/>
      <c r="C299" s="1"/>
    </row>
    <row r="300">
      <c r="A300" s="1"/>
      <c r="C300" s="1"/>
    </row>
    <row r="301">
      <c r="A301" s="1"/>
      <c r="C301" s="1"/>
    </row>
    <row r="302">
      <c r="A302" s="1"/>
      <c r="C302" s="1"/>
    </row>
    <row r="303">
      <c r="A303" s="1"/>
      <c r="C303" s="1"/>
    </row>
    <row r="304">
      <c r="A304" s="1"/>
      <c r="C304" s="1"/>
    </row>
    <row r="305">
      <c r="A305" s="1"/>
      <c r="C305" s="1"/>
    </row>
    <row r="306">
      <c r="A306" s="1"/>
      <c r="C306" s="1"/>
    </row>
    <row r="307">
      <c r="A307" s="1"/>
      <c r="C307" s="1"/>
    </row>
    <row r="308">
      <c r="A308" s="1"/>
      <c r="C308" s="1"/>
    </row>
    <row r="309">
      <c r="A309" s="1"/>
      <c r="C309" s="1"/>
    </row>
    <row r="310">
      <c r="A310" s="1"/>
      <c r="C310" s="1"/>
    </row>
    <row r="311">
      <c r="A311" s="1"/>
      <c r="C311" s="1"/>
    </row>
    <row r="312">
      <c r="A312" s="1"/>
      <c r="C312" s="1"/>
    </row>
    <row r="313">
      <c r="A313" s="1"/>
      <c r="C313" s="1"/>
    </row>
    <row r="314">
      <c r="A314" s="1"/>
      <c r="C314" s="1"/>
    </row>
    <row r="315">
      <c r="A315" s="1"/>
      <c r="C315" s="1"/>
    </row>
    <row r="316">
      <c r="A316" s="1"/>
      <c r="C316" s="1"/>
    </row>
    <row r="317">
      <c r="A317" s="1"/>
      <c r="C317" s="1"/>
    </row>
    <row r="318">
      <c r="A318" s="1"/>
      <c r="C318" s="1"/>
    </row>
    <row r="319">
      <c r="A319" s="1"/>
      <c r="C319" s="1"/>
    </row>
    <row r="320">
      <c r="A320" s="1"/>
      <c r="C320" s="1"/>
    </row>
    <row r="321">
      <c r="A321" s="1"/>
      <c r="C321" s="1"/>
    </row>
    <row r="322">
      <c r="A322" s="1"/>
      <c r="C322" s="1"/>
    </row>
    <row r="323">
      <c r="A323" s="1"/>
      <c r="C323" s="1"/>
    </row>
    <row r="324">
      <c r="A324" s="1"/>
      <c r="C324" s="1"/>
    </row>
    <row r="325">
      <c r="A325" s="1"/>
      <c r="C325" s="1"/>
    </row>
    <row r="326">
      <c r="A326" s="1"/>
      <c r="C326" s="1"/>
    </row>
    <row r="327">
      <c r="A327" s="1"/>
      <c r="C327" s="1"/>
    </row>
    <row r="328">
      <c r="A328" s="1"/>
      <c r="C328" s="1"/>
    </row>
    <row r="329">
      <c r="A329" s="1"/>
      <c r="C329" s="1"/>
    </row>
    <row r="330">
      <c r="A330" s="1"/>
      <c r="C330" s="1"/>
    </row>
    <row r="331">
      <c r="A331" s="1"/>
      <c r="C331" s="1"/>
    </row>
    <row r="332">
      <c r="A332" s="1"/>
      <c r="C332" s="1"/>
    </row>
    <row r="333">
      <c r="A333" s="1"/>
      <c r="C333" s="1"/>
    </row>
    <row r="334">
      <c r="A334" s="1"/>
      <c r="C334" s="1"/>
    </row>
    <row r="335">
      <c r="A335" s="1"/>
      <c r="C335" s="1"/>
    </row>
    <row r="336">
      <c r="A336" s="1"/>
      <c r="C336" s="1"/>
    </row>
    <row r="337">
      <c r="A337" s="1"/>
      <c r="C337" s="1"/>
    </row>
    <row r="338">
      <c r="A338" s="1"/>
      <c r="C338" s="1"/>
    </row>
    <row r="339">
      <c r="A339" s="1"/>
      <c r="C339" s="1"/>
    </row>
    <row r="340">
      <c r="A340" s="1"/>
      <c r="C340" s="1"/>
    </row>
    <row r="341">
      <c r="A341" s="1"/>
      <c r="C341" s="1"/>
    </row>
    <row r="342">
      <c r="A342" s="1"/>
      <c r="C342" s="1"/>
    </row>
    <row r="343">
      <c r="A343" s="1"/>
      <c r="C343" s="1"/>
    </row>
    <row r="344">
      <c r="A344" s="1"/>
      <c r="C344" s="1"/>
    </row>
    <row r="345">
      <c r="A345" s="1"/>
      <c r="C345" s="1"/>
    </row>
    <row r="346">
      <c r="A346" s="1"/>
      <c r="C346" s="1"/>
    </row>
    <row r="347">
      <c r="A347" s="1"/>
      <c r="C347" s="1"/>
    </row>
    <row r="348">
      <c r="A348" s="1"/>
      <c r="C348" s="1"/>
    </row>
    <row r="349">
      <c r="A349" s="1"/>
      <c r="C349" s="1"/>
    </row>
    <row r="350">
      <c r="A350" s="1"/>
      <c r="C350" s="1"/>
    </row>
    <row r="351">
      <c r="A351" s="1"/>
      <c r="C351" s="1"/>
    </row>
    <row r="352">
      <c r="A352" s="1"/>
      <c r="C352" s="1"/>
    </row>
    <row r="353">
      <c r="A353" s="1"/>
      <c r="C353" s="1"/>
    </row>
    <row r="354">
      <c r="A354" s="1"/>
      <c r="C354" s="1"/>
    </row>
    <row r="355">
      <c r="A355" s="1"/>
      <c r="C355" s="1"/>
    </row>
    <row r="356">
      <c r="A356" s="1"/>
      <c r="C356" s="1"/>
    </row>
    <row r="357">
      <c r="A357" s="1"/>
      <c r="C357" s="1"/>
    </row>
    <row r="358">
      <c r="A358" s="1"/>
      <c r="C358" s="1"/>
    </row>
    <row r="359">
      <c r="A359" s="1"/>
      <c r="C359" s="1"/>
    </row>
    <row r="360">
      <c r="A360" s="1"/>
      <c r="C360" s="1"/>
    </row>
    <row r="361">
      <c r="A361" s="1"/>
      <c r="C361" s="1"/>
    </row>
    <row r="362">
      <c r="A362" s="1"/>
      <c r="C362" s="1"/>
    </row>
    <row r="363">
      <c r="A363" s="1"/>
      <c r="C363" s="1"/>
    </row>
    <row r="364">
      <c r="A364" s="1"/>
      <c r="C364" s="1"/>
    </row>
    <row r="365">
      <c r="A365" s="1"/>
      <c r="C365" s="1"/>
    </row>
    <row r="366">
      <c r="A366" s="1"/>
      <c r="C366" s="1"/>
    </row>
    <row r="367">
      <c r="A367" s="1"/>
      <c r="C367" s="1"/>
    </row>
    <row r="368">
      <c r="A368" s="1"/>
      <c r="C368" s="1"/>
    </row>
    <row r="369">
      <c r="A369" s="1"/>
      <c r="C369" s="1"/>
    </row>
    <row r="370">
      <c r="A370" s="1"/>
      <c r="C370" s="1"/>
    </row>
    <row r="371">
      <c r="A371" s="1"/>
      <c r="C371" s="1"/>
    </row>
    <row r="372">
      <c r="A372" s="1"/>
      <c r="C372" s="1"/>
    </row>
    <row r="373">
      <c r="A373" s="1"/>
      <c r="C373" s="1"/>
    </row>
    <row r="374">
      <c r="A374" s="1"/>
      <c r="C374" s="1"/>
    </row>
    <row r="375">
      <c r="A375" s="1"/>
      <c r="C375" s="1"/>
    </row>
    <row r="376">
      <c r="A376" s="1"/>
      <c r="C376" s="1"/>
    </row>
    <row r="377">
      <c r="A377" s="1"/>
      <c r="C377" s="1"/>
    </row>
    <row r="378">
      <c r="A378" s="1"/>
      <c r="C378" s="1"/>
    </row>
    <row r="379">
      <c r="A379" s="1"/>
      <c r="C379" s="1"/>
    </row>
    <row r="380">
      <c r="A380" s="1"/>
      <c r="C380" s="1"/>
    </row>
    <row r="381">
      <c r="A381" s="1"/>
      <c r="C381" s="1"/>
    </row>
    <row r="382">
      <c r="A382" s="1"/>
      <c r="C382" s="1"/>
    </row>
    <row r="383">
      <c r="A383" s="1"/>
      <c r="C383" s="1"/>
    </row>
    <row r="384">
      <c r="A384" s="1"/>
      <c r="C384" s="1"/>
    </row>
    <row r="385">
      <c r="A385" s="1"/>
      <c r="C385" s="1"/>
    </row>
    <row r="386">
      <c r="A386" s="1"/>
      <c r="C386" s="1"/>
    </row>
    <row r="387">
      <c r="A387" s="1"/>
      <c r="C387" s="1"/>
    </row>
    <row r="388">
      <c r="A388" s="1"/>
      <c r="C388" s="1"/>
    </row>
    <row r="389">
      <c r="A389" s="1"/>
      <c r="C389" s="1"/>
    </row>
    <row r="390">
      <c r="A390" s="1"/>
      <c r="C390" s="1"/>
    </row>
    <row r="391">
      <c r="A391" s="1"/>
      <c r="C391" s="1"/>
    </row>
    <row r="392">
      <c r="A392" s="1"/>
      <c r="C392" s="1"/>
    </row>
    <row r="393">
      <c r="A393" s="1"/>
      <c r="C393" s="1"/>
    </row>
    <row r="394">
      <c r="A394" s="1"/>
      <c r="C394" s="1"/>
    </row>
    <row r="395">
      <c r="A395" s="1"/>
      <c r="C395" s="1"/>
    </row>
    <row r="396">
      <c r="A396" s="1"/>
      <c r="C396" s="1"/>
    </row>
    <row r="397">
      <c r="A397" s="1"/>
      <c r="C397" s="1"/>
    </row>
    <row r="398">
      <c r="A398" s="1"/>
      <c r="C398" s="1"/>
    </row>
    <row r="399">
      <c r="A399" s="1"/>
      <c r="C399" s="1"/>
    </row>
    <row r="400">
      <c r="A400" s="1"/>
      <c r="C400" s="1"/>
    </row>
    <row r="401">
      <c r="A401" s="1"/>
      <c r="C401" s="1"/>
    </row>
    <row r="402">
      <c r="A402" s="1"/>
      <c r="C402" s="1"/>
    </row>
    <row r="403">
      <c r="A403" s="1"/>
      <c r="C403" s="1"/>
    </row>
    <row r="404">
      <c r="A404" s="1"/>
      <c r="C404" s="1"/>
    </row>
    <row r="405">
      <c r="A405" s="1"/>
      <c r="C405" s="1"/>
    </row>
    <row r="406">
      <c r="A406" s="1"/>
      <c r="C406" s="1"/>
    </row>
    <row r="407">
      <c r="A407" s="1"/>
      <c r="C407" s="1"/>
    </row>
    <row r="408">
      <c r="A408" s="1"/>
      <c r="C408" s="1"/>
    </row>
    <row r="409">
      <c r="A409" s="1"/>
      <c r="C409" s="1"/>
    </row>
    <row r="410">
      <c r="A410" s="1"/>
      <c r="C410" s="1"/>
    </row>
    <row r="411">
      <c r="A411" s="1"/>
      <c r="C411" s="1"/>
    </row>
    <row r="412">
      <c r="A412" s="1"/>
      <c r="C412" s="1"/>
    </row>
    <row r="413">
      <c r="A413" s="1"/>
      <c r="C413" s="1"/>
    </row>
    <row r="414">
      <c r="A414" s="1"/>
      <c r="C414" s="1"/>
    </row>
    <row r="415">
      <c r="A415" s="1"/>
      <c r="C415" s="1"/>
    </row>
    <row r="416">
      <c r="A416" s="1"/>
      <c r="C416" s="1"/>
    </row>
    <row r="417">
      <c r="A417" s="1"/>
      <c r="C417" s="1"/>
    </row>
    <row r="418">
      <c r="A418" s="1"/>
      <c r="C418" s="1"/>
    </row>
    <row r="419">
      <c r="A419" s="1"/>
      <c r="C419" s="1"/>
    </row>
    <row r="420">
      <c r="A420" s="1"/>
      <c r="C420" s="1"/>
    </row>
    <row r="421">
      <c r="A421" s="1"/>
      <c r="C421" s="1"/>
    </row>
    <row r="422">
      <c r="A422" s="1"/>
      <c r="C422" s="1"/>
    </row>
    <row r="423">
      <c r="A423" s="1"/>
      <c r="C423" s="1"/>
    </row>
    <row r="424">
      <c r="A424" s="1"/>
      <c r="C424" s="1"/>
    </row>
    <row r="425">
      <c r="A425" s="1"/>
      <c r="C425" s="1"/>
    </row>
    <row r="426">
      <c r="A426" s="1"/>
      <c r="C426" s="1"/>
    </row>
    <row r="427">
      <c r="A427" s="1"/>
      <c r="C427" s="1"/>
    </row>
    <row r="428">
      <c r="A428" s="1"/>
      <c r="C428" s="1"/>
    </row>
    <row r="429">
      <c r="A429" s="1"/>
      <c r="C429" s="1"/>
    </row>
    <row r="430">
      <c r="A430" s="1"/>
      <c r="C430" s="1"/>
    </row>
    <row r="431">
      <c r="A431" s="1"/>
      <c r="C431" s="1"/>
    </row>
    <row r="432">
      <c r="A432" s="1"/>
      <c r="C432" s="1"/>
    </row>
    <row r="433">
      <c r="A433" s="1"/>
      <c r="C433" s="1"/>
    </row>
    <row r="434">
      <c r="A434" s="1"/>
      <c r="C434" s="1"/>
    </row>
    <row r="435">
      <c r="A435" s="1"/>
      <c r="C435" s="1"/>
    </row>
    <row r="436">
      <c r="A436" s="1"/>
      <c r="C436" s="1"/>
    </row>
    <row r="437">
      <c r="A437" s="1"/>
      <c r="C437" s="1"/>
    </row>
    <row r="438">
      <c r="A438" s="1"/>
      <c r="C438" s="1"/>
    </row>
    <row r="439">
      <c r="A439" s="1"/>
      <c r="C439" s="1"/>
    </row>
    <row r="440">
      <c r="A440" s="1"/>
      <c r="C440" s="1"/>
    </row>
    <row r="441">
      <c r="A441" s="1"/>
      <c r="C441" s="1"/>
    </row>
    <row r="442">
      <c r="A442" s="1"/>
      <c r="C442" s="1"/>
    </row>
    <row r="443">
      <c r="A443" s="1"/>
      <c r="C443" s="1"/>
    </row>
    <row r="444">
      <c r="A444" s="1"/>
      <c r="C444" s="1"/>
    </row>
    <row r="445">
      <c r="A445" s="1"/>
      <c r="C445" s="1"/>
    </row>
    <row r="446">
      <c r="A446" s="1"/>
      <c r="C446" s="1"/>
    </row>
    <row r="447">
      <c r="A447" s="1"/>
      <c r="C447" s="1"/>
    </row>
    <row r="448">
      <c r="A448" s="1"/>
      <c r="C448" s="1"/>
    </row>
    <row r="449">
      <c r="A449" s="1"/>
      <c r="C449" s="1"/>
    </row>
    <row r="450">
      <c r="A450" s="1"/>
      <c r="C450" s="1"/>
    </row>
    <row r="451">
      <c r="A451" s="1"/>
      <c r="C451" s="1"/>
    </row>
    <row r="452">
      <c r="A452" s="1"/>
      <c r="C452" s="1"/>
    </row>
    <row r="453">
      <c r="A453" s="1"/>
      <c r="C453" s="1"/>
    </row>
    <row r="454">
      <c r="A454" s="1"/>
      <c r="C454" s="1"/>
    </row>
    <row r="455">
      <c r="A455" s="1"/>
      <c r="C455" s="1"/>
    </row>
    <row r="456">
      <c r="A456" s="1"/>
      <c r="C456" s="1"/>
    </row>
    <row r="457">
      <c r="A457" s="1"/>
      <c r="C457" s="1"/>
    </row>
    <row r="458">
      <c r="A458" s="1"/>
      <c r="C458" s="1"/>
    </row>
    <row r="459">
      <c r="A459" s="1"/>
      <c r="C459" s="1"/>
    </row>
    <row r="460">
      <c r="A460" s="1"/>
      <c r="C460" s="1"/>
    </row>
    <row r="461">
      <c r="A461" s="1"/>
      <c r="C461" s="1"/>
    </row>
    <row r="462">
      <c r="A462" s="1"/>
      <c r="C462" s="1"/>
    </row>
    <row r="463">
      <c r="A463" s="1"/>
      <c r="C463" s="1"/>
    </row>
    <row r="464">
      <c r="A464" s="1"/>
      <c r="C464" s="1"/>
    </row>
    <row r="465">
      <c r="A465" s="1"/>
      <c r="C465" s="1"/>
    </row>
    <row r="466">
      <c r="A466" s="1"/>
      <c r="C466" s="1"/>
    </row>
    <row r="467">
      <c r="A467" s="1"/>
      <c r="C467" s="1"/>
    </row>
    <row r="468">
      <c r="A468" s="1"/>
      <c r="C468" s="1"/>
    </row>
    <row r="469">
      <c r="A469" s="1"/>
      <c r="C469" s="1"/>
    </row>
    <row r="470">
      <c r="A470" s="1"/>
      <c r="C470" s="1"/>
    </row>
    <row r="471">
      <c r="A471" s="1"/>
      <c r="C471" s="1"/>
    </row>
    <row r="472">
      <c r="A472" s="1"/>
      <c r="C472" s="1"/>
    </row>
    <row r="473">
      <c r="A473" s="1"/>
      <c r="C473" s="1"/>
    </row>
    <row r="474">
      <c r="A474" s="1"/>
      <c r="C474" s="1"/>
    </row>
    <row r="475">
      <c r="A475" s="1"/>
      <c r="C475" s="1"/>
    </row>
    <row r="476">
      <c r="A476" s="1"/>
      <c r="C476" s="1"/>
    </row>
    <row r="477">
      <c r="A477" s="1"/>
      <c r="C477" s="1"/>
    </row>
    <row r="478">
      <c r="A478" s="1"/>
      <c r="C478" s="1"/>
    </row>
    <row r="479">
      <c r="A479" s="1"/>
      <c r="C479" s="1"/>
    </row>
    <row r="480">
      <c r="A480" s="1"/>
      <c r="C480" s="1"/>
    </row>
    <row r="481">
      <c r="A481" s="1"/>
      <c r="C481" s="1"/>
    </row>
    <row r="482">
      <c r="A482" s="1"/>
      <c r="C482" s="1"/>
    </row>
    <row r="483">
      <c r="A483" s="1"/>
      <c r="C483" s="1"/>
    </row>
    <row r="484">
      <c r="A484" s="1"/>
      <c r="C484" s="1"/>
    </row>
    <row r="485">
      <c r="A485" s="1"/>
      <c r="C485" s="1"/>
    </row>
    <row r="486">
      <c r="A486" s="1"/>
      <c r="C486" s="1"/>
    </row>
    <row r="487">
      <c r="A487" s="1"/>
      <c r="C487" s="1"/>
    </row>
    <row r="488">
      <c r="A488" s="1"/>
      <c r="C488" s="1"/>
    </row>
    <row r="489">
      <c r="A489" s="1"/>
      <c r="C489" s="1"/>
    </row>
    <row r="490">
      <c r="A490" s="1"/>
      <c r="C490" s="1"/>
    </row>
    <row r="491">
      <c r="A491" s="1"/>
      <c r="C491" s="1"/>
    </row>
    <row r="492">
      <c r="A492" s="1"/>
      <c r="C492" s="1"/>
    </row>
    <row r="493">
      <c r="A493" s="1"/>
      <c r="C493" s="1"/>
    </row>
    <row r="494">
      <c r="A494" s="1"/>
      <c r="C494" s="1"/>
    </row>
    <row r="495">
      <c r="A495" s="1"/>
      <c r="C495" s="1"/>
    </row>
    <row r="496">
      <c r="A496" s="1"/>
      <c r="C496" s="1"/>
    </row>
    <row r="497">
      <c r="A497" s="1"/>
      <c r="C497" s="1"/>
    </row>
    <row r="498">
      <c r="A498" s="1"/>
      <c r="C498" s="1"/>
    </row>
    <row r="499">
      <c r="A499" s="1"/>
      <c r="C499" s="1"/>
    </row>
    <row r="500">
      <c r="A500" s="1"/>
      <c r="C500" s="1"/>
    </row>
    <row r="501">
      <c r="A501" s="1"/>
      <c r="C501" s="1"/>
    </row>
    <row r="502">
      <c r="A502" s="1"/>
      <c r="C502" s="1"/>
    </row>
    <row r="503">
      <c r="A503" s="1"/>
      <c r="C503" s="1"/>
    </row>
    <row r="504">
      <c r="A504" s="1"/>
      <c r="C504" s="1"/>
    </row>
    <row r="505">
      <c r="A505" s="1"/>
      <c r="C505" s="1"/>
    </row>
    <row r="506">
      <c r="A506" s="1"/>
      <c r="C506" s="1"/>
    </row>
    <row r="507">
      <c r="A507" s="1"/>
      <c r="C507" s="1"/>
    </row>
    <row r="508">
      <c r="A508" s="1"/>
      <c r="C508" s="1"/>
    </row>
    <row r="509">
      <c r="A509" s="1"/>
      <c r="C509" s="1"/>
    </row>
    <row r="510">
      <c r="A510" s="1"/>
      <c r="C510" s="1"/>
    </row>
    <row r="511">
      <c r="A511" s="1"/>
      <c r="C511" s="1"/>
    </row>
    <row r="512">
      <c r="A512" s="1"/>
      <c r="C512" s="1"/>
    </row>
    <row r="513">
      <c r="A513" s="1"/>
      <c r="C513" s="1"/>
    </row>
    <row r="514">
      <c r="A514" s="1"/>
      <c r="C514" s="1"/>
    </row>
    <row r="515">
      <c r="A515" s="1"/>
      <c r="C515" s="1"/>
    </row>
    <row r="516">
      <c r="A516" s="1"/>
      <c r="C516" s="1"/>
    </row>
    <row r="517">
      <c r="A517" s="1"/>
      <c r="C517" s="1"/>
    </row>
    <row r="518">
      <c r="A518" s="1"/>
      <c r="C518" s="1"/>
    </row>
    <row r="519">
      <c r="A519" s="1"/>
      <c r="C519" s="1"/>
    </row>
    <row r="520">
      <c r="A520" s="1"/>
      <c r="C520" s="1"/>
    </row>
    <row r="521">
      <c r="A521" s="1"/>
      <c r="C521" s="1"/>
    </row>
    <row r="522">
      <c r="A522" s="1"/>
      <c r="C522" s="1"/>
    </row>
    <row r="523">
      <c r="A523" s="1"/>
      <c r="C523" s="1"/>
    </row>
    <row r="524">
      <c r="A524" s="1"/>
      <c r="C524" s="1"/>
    </row>
    <row r="525">
      <c r="A525" s="1"/>
      <c r="C525" s="1"/>
    </row>
    <row r="526">
      <c r="A526" s="1"/>
      <c r="C526" s="1"/>
    </row>
    <row r="527">
      <c r="A527" s="1"/>
      <c r="C527" s="1"/>
    </row>
    <row r="528">
      <c r="A528" s="1"/>
      <c r="C528" s="1"/>
    </row>
    <row r="529">
      <c r="A529" s="1"/>
      <c r="C529" s="1"/>
    </row>
    <row r="530">
      <c r="A530" s="1"/>
      <c r="C530" s="1"/>
    </row>
    <row r="531">
      <c r="A531" s="1"/>
      <c r="C531" s="1"/>
    </row>
    <row r="532">
      <c r="A532" s="1"/>
      <c r="C532" s="1"/>
    </row>
    <row r="533">
      <c r="A533" s="1"/>
      <c r="C533" s="1"/>
    </row>
    <row r="534">
      <c r="A534" s="1"/>
      <c r="C534" s="1"/>
    </row>
    <row r="535">
      <c r="A535" s="1"/>
      <c r="C535" s="1"/>
    </row>
    <row r="536">
      <c r="A536" s="1"/>
      <c r="C536" s="1"/>
    </row>
    <row r="537">
      <c r="A537" s="1"/>
      <c r="C537" s="1"/>
    </row>
    <row r="538">
      <c r="A538" s="1"/>
      <c r="C538" s="1"/>
    </row>
    <row r="539">
      <c r="A539" s="1"/>
      <c r="C539" s="1"/>
    </row>
    <row r="540">
      <c r="A540" s="1"/>
      <c r="C540" s="1"/>
    </row>
    <row r="541">
      <c r="A541" s="1"/>
      <c r="C541" s="1"/>
    </row>
    <row r="542">
      <c r="A542" s="1"/>
      <c r="C542" s="1"/>
    </row>
    <row r="543">
      <c r="A543" s="1"/>
      <c r="C543" s="1"/>
    </row>
    <row r="544">
      <c r="A544" s="1"/>
      <c r="C544" s="1"/>
    </row>
    <row r="545">
      <c r="A545" s="1"/>
      <c r="C545" s="1"/>
    </row>
    <row r="546">
      <c r="A546" s="1"/>
      <c r="C546" s="1"/>
    </row>
    <row r="547">
      <c r="A547" s="1"/>
      <c r="C547" s="1"/>
    </row>
    <row r="548">
      <c r="A548" s="1"/>
      <c r="C548" s="1"/>
    </row>
    <row r="549">
      <c r="A549" s="1"/>
      <c r="C549" s="1"/>
    </row>
    <row r="550">
      <c r="A550" s="1"/>
      <c r="C550" s="1"/>
    </row>
    <row r="551">
      <c r="A551" s="1"/>
      <c r="C551" s="1"/>
    </row>
    <row r="552">
      <c r="A552" s="1"/>
      <c r="C552" s="1"/>
    </row>
    <row r="553">
      <c r="A553" s="1"/>
      <c r="C553" s="1"/>
    </row>
    <row r="554">
      <c r="A554" s="1"/>
      <c r="C554" s="1"/>
    </row>
    <row r="555">
      <c r="A555" s="1"/>
      <c r="C555" s="1"/>
    </row>
    <row r="556">
      <c r="A556" s="1"/>
      <c r="C556" s="1"/>
    </row>
    <row r="557">
      <c r="A557" s="1"/>
      <c r="C557" s="1"/>
    </row>
    <row r="558">
      <c r="A558" s="1"/>
      <c r="C558" s="1"/>
    </row>
    <row r="559">
      <c r="A559" s="1"/>
      <c r="C559" s="1"/>
    </row>
    <row r="560">
      <c r="A560" s="1"/>
      <c r="C560" s="1"/>
    </row>
    <row r="561">
      <c r="A561" s="1"/>
      <c r="C561" s="1"/>
    </row>
    <row r="562">
      <c r="A562" s="1"/>
      <c r="C562" s="1"/>
    </row>
    <row r="563">
      <c r="A563" s="1"/>
      <c r="C563" s="1"/>
    </row>
    <row r="564">
      <c r="A564" s="1"/>
      <c r="C564" s="1"/>
    </row>
    <row r="565">
      <c r="A565" s="1"/>
      <c r="C565" s="1"/>
    </row>
    <row r="566">
      <c r="A566" s="1"/>
      <c r="C566" s="1"/>
    </row>
    <row r="567">
      <c r="A567" s="1"/>
      <c r="C567" s="1"/>
    </row>
    <row r="568">
      <c r="A568" s="1"/>
      <c r="C568" s="1"/>
    </row>
    <row r="569">
      <c r="A569" s="1"/>
      <c r="C569" s="1"/>
    </row>
    <row r="570">
      <c r="A570" s="1"/>
      <c r="C570" s="1"/>
    </row>
    <row r="571">
      <c r="A571" s="1"/>
      <c r="C571" s="1"/>
    </row>
    <row r="572">
      <c r="A572" s="1"/>
      <c r="C572" s="1"/>
    </row>
    <row r="573">
      <c r="A573" s="1"/>
      <c r="C573" s="1"/>
    </row>
    <row r="574">
      <c r="A574" s="1"/>
      <c r="C574" s="1"/>
    </row>
    <row r="575">
      <c r="A575" s="1"/>
      <c r="C575" s="1"/>
    </row>
    <row r="576">
      <c r="A576" s="1"/>
      <c r="C576" s="1"/>
    </row>
    <row r="577">
      <c r="A577" s="1"/>
      <c r="C577" s="1"/>
    </row>
    <row r="578">
      <c r="A578" s="1"/>
      <c r="C578" s="1"/>
    </row>
    <row r="579">
      <c r="A579" s="1"/>
      <c r="C579" s="1"/>
    </row>
    <row r="580">
      <c r="A580" s="1"/>
      <c r="C580" s="1"/>
    </row>
    <row r="581">
      <c r="A581" s="1"/>
      <c r="C581" s="1"/>
    </row>
    <row r="582">
      <c r="A582" s="1"/>
      <c r="C582" s="1"/>
    </row>
    <row r="583">
      <c r="A583" s="1"/>
      <c r="C583" s="1"/>
    </row>
    <row r="584">
      <c r="A584" s="1"/>
      <c r="C584" s="1"/>
    </row>
    <row r="585">
      <c r="A585" s="1"/>
      <c r="C585" s="1"/>
    </row>
    <row r="586">
      <c r="A586" s="1"/>
      <c r="C586" s="1"/>
    </row>
    <row r="587">
      <c r="A587" s="1"/>
      <c r="C587" s="1"/>
    </row>
    <row r="588">
      <c r="A588" s="1"/>
      <c r="C588" s="1"/>
    </row>
    <row r="589">
      <c r="A589" s="1"/>
      <c r="C589" s="1"/>
    </row>
    <row r="590">
      <c r="A590" s="1"/>
      <c r="C590" s="1"/>
    </row>
    <row r="591">
      <c r="A591" s="1"/>
      <c r="C591" s="1"/>
    </row>
    <row r="592">
      <c r="A592" s="1"/>
      <c r="C592" s="1"/>
    </row>
    <row r="593">
      <c r="A593" s="1"/>
      <c r="C593" s="1"/>
    </row>
    <row r="594">
      <c r="A594" s="1"/>
      <c r="C594" s="1"/>
    </row>
    <row r="595">
      <c r="A595" s="1"/>
      <c r="C595" s="1"/>
    </row>
    <row r="596">
      <c r="A596" s="1"/>
      <c r="C596" s="1"/>
    </row>
    <row r="597">
      <c r="A597" s="1"/>
      <c r="C597" s="1"/>
    </row>
    <row r="598">
      <c r="A598" s="1"/>
      <c r="C598" s="1"/>
    </row>
    <row r="599">
      <c r="A599" s="1"/>
      <c r="C599" s="1"/>
    </row>
    <row r="600">
      <c r="A600" s="1"/>
      <c r="C600" s="1"/>
    </row>
    <row r="601">
      <c r="A601" s="1"/>
      <c r="C601" s="1"/>
    </row>
    <row r="602">
      <c r="A602" s="1"/>
      <c r="C602" s="1"/>
    </row>
    <row r="603">
      <c r="A603" s="1"/>
      <c r="C603" s="1"/>
    </row>
    <row r="604">
      <c r="A604" s="1"/>
      <c r="C604" s="1"/>
    </row>
    <row r="605">
      <c r="A605" s="1"/>
      <c r="C605" s="1"/>
    </row>
    <row r="606">
      <c r="A606" s="1"/>
      <c r="C606" s="1"/>
    </row>
    <row r="607">
      <c r="A607" s="1"/>
      <c r="C607" s="1"/>
    </row>
    <row r="608">
      <c r="A608" s="1"/>
      <c r="C608" s="1"/>
    </row>
    <row r="609">
      <c r="A609" s="1"/>
      <c r="C609" s="1"/>
    </row>
    <row r="610">
      <c r="A610" s="1"/>
      <c r="C610" s="1"/>
    </row>
    <row r="611">
      <c r="A611" s="1"/>
      <c r="C611" s="1"/>
    </row>
    <row r="612">
      <c r="A612" s="1"/>
      <c r="C612" s="1"/>
    </row>
    <row r="613">
      <c r="A613" s="1"/>
      <c r="C613" s="1"/>
    </row>
    <row r="614">
      <c r="A614" s="1"/>
      <c r="C614" s="1"/>
    </row>
    <row r="615">
      <c r="A615" s="1"/>
      <c r="C615" s="1"/>
    </row>
    <row r="616">
      <c r="A616" s="1"/>
      <c r="C616" s="1"/>
    </row>
    <row r="617">
      <c r="A617" s="1"/>
      <c r="C617" s="1"/>
    </row>
    <row r="618">
      <c r="A618" s="1"/>
      <c r="C618" s="1"/>
    </row>
    <row r="619">
      <c r="A619" s="1"/>
      <c r="C619" s="1"/>
    </row>
    <row r="620">
      <c r="A620" s="1"/>
      <c r="C620" s="1"/>
    </row>
    <row r="621">
      <c r="A621" s="1"/>
      <c r="C621" s="1"/>
    </row>
    <row r="622">
      <c r="A622" s="1"/>
      <c r="C622" s="1"/>
    </row>
    <row r="623">
      <c r="A623" s="1"/>
      <c r="C623" s="1"/>
    </row>
    <row r="624">
      <c r="A624" s="1"/>
      <c r="C624" s="1"/>
    </row>
    <row r="625">
      <c r="A625" s="1"/>
      <c r="C625" s="1"/>
    </row>
    <row r="626">
      <c r="A626" s="1"/>
      <c r="C626" s="1"/>
    </row>
    <row r="627">
      <c r="A627" s="1"/>
      <c r="C627" s="1"/>
    </row>
    <row r="628">
      <c r="A628" s="1"/>
      <c r="C628" s="1"/>
    </row>
    <row r="629">
      <c r="A629" s="1"/>
      <c r="C629" s="1"/>
    </row>
    <row r="630">
      <c r="A630" s="1"/>
      <c r="C630" s="1"/>
    </row>
    <row r="631">
      <c r="A631" s="1"/>
      <c r="C631" s="1"/>
    </row>
    <row r="632">
      <c r="A632" s="1"/>
      <c r="C632" s="1"/>
    </row>
    <row r="633">
      <c r="A633" s="1"/>
      <c r="C633" s="1"/>
    </row>
    <row r="634">
      <c r="A634" s="1"/>
      <c r="C634" s="1"/>
    </row>
    <row r="635">
      <c r="A635" s="1"/>
      <c r="C635" s="1"/>
    </row>
    <row r="636">
      <c r="A636" s="1"/>
      <c r="C636" s="1"/>
    </row>
    <row r="637">
      <c r="A637" s="1"/>
      <c r="C637" s="1"/>
    </row>
    <row r="638">
      <c r="A638" s="1"/>
      <c r="C638" s="1"/>
    </row>
    <row r="639">
      <c r="A639" s="1"/>
      <c r="C639" s="1"/>
    </row>
    <row r="640">
      <c r="A640" s="1"/>
      <c r="C640" s="1"/>
    </row>
    <row r="641">
      <c r="A641" s="1"/>
      <c r="C641" s="1"/>
    </row>
    <row r="642">
      <c r="A642" s="1"/>
      <c r="C642" s="1"/>
    </row>
    <row r="643">
      <c r="A643" s="1"/>
      <c r="C643" s="1"/>
    </row>
    <row r="644">
      <c r="A644" s="1"/>
      <c r="C644" s="1"/>
    </row>
    <row r="645">
      <c r="A645" s="1"/>
      <c r="C645" s="1"/>
    </row>
    <row r="646">
      <c r="A646" s="1"/>
      <c r="C646" s="1"/>
    </row>
    <row r="647">
      <c r="A647" s="1"/>
      <c r="C647" s="1"/>
    </row>
    <row r="648">
      <c r="A648" s="1"/>
      <c r="C648" s="1"/>
    </row>
    <row r="649">
      <c r="A649" s="1"/>
      <c r="C649" s="1"/>
    </row>
    <row r="650">
      <c r="A650" s="1"/>
      <c r="C650" s="1"/>
    </row>
    <row r="651">
      <c r="A651" s="1"/>
      <c r="C651" s="1"/>
    </row>
    <row r="652">
      <c r="A652" s="1"/>
      <c r="C652" s="1"/>
    </row>
    <row r="653">
      <c r="A653" s="1"/>
      <c r="C653" s="1"/>
    </row>
    <row r="654">
      <c r="A654" s="1"/>
      <c r="C654" s="1"/>
    </row>
    <row r="655">
      <c r="A655" s="1"/>
      <c r="C655" s="1"/>
    </row>
    <row r="656">
      <c r="A656" s="1"/>
      <c r="C656" s="1"/>
    </row>
    <row r="657">
      <c r="A657" s="1"/>
      <c r="C657" s="1"/>
    </row>
    <row r="658">
      <c r="A658" s="1"/>
      <c r="C658" s="1"/>
    </row>
    <row r="659">
      <c r="A659" s="1"/>
      <c r="C659" s="1"/>
    </row>
    <row r="660">
      <c r="A660" s="1"/>
      <c r="C660" s="1"/>
    </row>
    <row r="661">
      <c r="A661" s="1"/>
      <c r="C661" s="1"/>
    </row>
    <row r="662">
      <c r="A662" s="1"/>
      <c r="C662" s="1"/>
    </row>
    <row r="663">
      <c r="A663" s="1"/>
      <c r="C663" s="1"/>
    </row>
    <row r="664">
      <c r="A664" s="1"/>
      <c r="C664" s="1"/>
    </row>
    <row r="665">
      <c r="A665" s="1"/>
      <c r="C665" s="1"/>
    </row>
    <row r="666">
      <c r="A666" s="1"/>
      <c r="C666" s="1"/>
    </row>
    <row r="667">
      <c r="A667" s="1"/>
      <c r="C667" s="1"/>
    </row>
    <row r="668">
      <c r="A668" s="1"/>
      <c r="C668" s="1"/>
    </row>
    <row r="669">
      <c r="A669" s="1"/>
      <c r="C669" s="1"/>
    </row>
    <row r="670">
      <c r="A670" s="1"/>
      <c r="C670" s="1"/>
    </row>
    <row r="671">
      <c r="A671" s="1"/>
      <c r="C671" s="1"/>
    </row>
    <row r="672">
      <c r="A672" s="1"/>
      <c r="C672" s="1"/>
    </row>
    <row r="673">
      <c r="A673" s="1"/>
      <c r="C673" s="1"/>
    </row>
    <row r="674">
      <c r="A674" s="1"/>
      <c r="C674" s="1"/>
    </row>
    <row r="675">
      <c r="A675" s="1"/>
      <c r="C675" s="1"/>
    </row>
    <row r="676">
      <c r="A676" s="1"/>
      <c r="C676" s="1"/>
    </row>
    <row r="677">
      <c r="A677" s="1"/>
      <c r="C677" s="1"/>
    </row>
    <row r="678">
      <c r="A678" s="1"/>
      <c r="C678" s="1"/>
    </row>
    <row r="679">
      <c r="A679" s="1"/>
      <c r="C679" s="1"/>
    </row>
    <row r="680">
      <c r="A680" s="1"/>
      <c r="C680" s="1"/>
    </row>
    <row r="681">
      <c r="A681" s="1"/>
      <c r="C681" s="1"/>
    </row>
    <row r="682">
      <c r="A682" s="1"/>
      <c r="C682" s="1"/>
    </row>
    <row r="683">
      <c r="A683" s="1"/>
      <c r="C683" s="1"/>
    </row>
    <row r="684">
      <c r="A684" s="1"/>
      <c r="C684" s="1"/>
    </row>
    <row r="685">
      <c r="A685" s="1"/>
      <c r="C685" s="1"/>
    </row>
    <row r="686">
      <c r="A686" s="1"/>
      <c r="C686" s="1"/>
    </row>
    <row r="687">
      <c r="A687" s="1"/>
      <c r="C687" s="1"/>
    </row>
    <row r="688">
      <c r="A688" s="1"/>
      <c r="C688" s="1"/>
    </row>
    <row r="689">
      <c r="A689" s="1"/>
      <c r="C689" s="1"/>
    </row>
    <row r="690">
      <c r="A690" s="1"/>
      <c r="C690" s="1"/>
    </row>
    <row r="691">
      <c r="A691" s="1"/>
      <c r="C691" s="1"/>
    </row>
    <row r="692">
      <c r="A692" s="1"/>
      <c r="C692" s="1"/>
    </row>
    <row r="693">
      <c r="A693" s="1"/>
      <c r="C693" s="1"/>
    </row>
    <row r="694">
      <c r="A694" s="1"/>
      <c r="C694" s="1"/>
    </row>
    <row r="695">
      <c r="A695" s="1"/>
      <c r="C695" s="1"/>
    </row>
    <row r="696">
      <c r="A696" s="1"/>
      <c r="C696" s="1"/>
    </row>
    <row r="697">
      <c r="A697" s="1"/>
      <c r="C697" s="1"/>
    </row>
    <row r="698">
      <c r="A698" s="1"/>
      <c r="C698" s="1"/>
    </row>
    <row r="699">
      <c r="A699" s="1"/>
      <c r="C699" s="1"/>
    </row>
    <row r="700">
      <c r="A700" s="1"/>
      <c r="C700" s="1"/>
    </row>
    <row r="701">
      <c r="A701" s="1"/>
      <c r="C701" s="1"/>
    </row>
    <row r="702">
      <c r="A702" s="1"/>
      <c r="C702" s="1"/>
    </row>
    <row r="703">
      <c r="A703" s="1"/>
      <c r="C703" s="1"/>
    </row>
    <row r="704">
      <c r="A704" s="1"/>
      <c r="C704" s="1"/>
    </row>
    <row r="705">
      <c r="A705" s="1"/>
      <c r="C705" s="1"/>
    </row>
    <row r="706">
      <c r="A706" s="1"/>
      <c r="C706" s="1"/>
    </row>
    <row r="707">
      <c r="A707" s="1"/>
      <c r="C707" s="1"/>
    </row>
    <row r="708">
      <c r="A708" s="1"/>
      <c r="C708" s="1"/>
    </row>
    <row r="709">
      <c r="A709" s="1"/>
      <c r="C709" s="1"/>
    </row>
    <row r="710">
      <c r="A710" s="1"/>
      <c r="C710" s="1"/>
    </row>
    <row r="711">
      <c r="A711" s="1"/>
      <c r="C711" s="1"/>
    </row>
    <row r="712">
      <c r="A712" s="1"/>
      <c r="C712" s="1"/>
    </row>
    <row r="713">
      <c r="A713" s="1"/>
      <c r="C713" s="1"/>
    </row>
    <row r="714">
      <c r="A714" s="1"/>
      <c r="C714" s="1"/>
    </row>
    <row r="715">
      <c r="A715" s="1"/>
      <c r="C715" s="1"/>
    </row>
    <row r="716">
      <c r="A716" s="1"/>
      <c r="C716" s="1"/>
    </row>
    <row r="717">
      <c r="A717" s="1"/>
      <c r="C717" s="1"/>
    </row>
    <row r="718">
      <c r="A718" s="1"/>
      <c r="C718" s="1"/>
    </row>
    <row r="719">
      <c r="A719" s="1"/>
      <c r="C719" s="1"/>
    </row>
    <row r="720">
      <c r="A720" s="1"/>
      <c r="C720" s="1"/>
    </row>
    <row r="721">
      <c r="A721" s="1"/>
      <c r="C721" s="1"/>
    </row>
    <row r="722">
      <c r="A722" s="1"/>
      <c r="C722" s="1"/>
    </row>
    <row r="723">
      <c r="A723" s="1"/>
      <c r="C723" s="1"/>
    </row>
    <row r="724">
      <c r="A724" s="1"/>
      <c r="C724" s="1"/>
    </row>
    <row r="725">
      <c r="A725" s="1"/>
      <c r="C725" s="1"/>
    </row>
    <row r="726">
      <c r="A726" s="1"/>
      <c r="C726" s="1"/>
    </row>
    <row r="727">
      <c r="A727" s="1"/>
      <c r="C727" s="1"/>
    </row>
    <row r="728">
      <c r="A728" s="1"/>
      <c r="C728" s="1"/>
    </row>
    <row r="729">
      <c r="A729" s="1"/>
      <c r="C729" s="1"/>
    </row>
    <row r="730">
      <c r="A730" s="1"/>
      <c r="C730" s="1"/>
    </row>
    <row r="731">
      <c r="A731" s="1"/>
      <c r="C731" s="1"/>
    </row>
    <row r="732">
      <c r="A732" s="1"/>
      <c r="C732" s="1"/>
    </row>
    <row r="733">
      <c r="A733" s="1"/>
      <c r="C733" s="1"/>
    </row>
    <row r="734">
      <c r="A734" s="1"/>
      <c r="C734" s="1"/>
    </row>
    <row r="735">
      <c r="A735" s="1"/>
      <c r="C735" s="1"/>
    </row>
    <row r="736">
      <c r="A736" s="1"/>
      <c r="C736" s="1"/>
    </row>
    <row r="737">
      <c r="A737" s="1"/>
      <c r="C737" s="1"/>
    </row>
    <row r="738">
      <c r="A738" s="1"/>
      <c r="C738" s="1"/>
    </row>
    <row r="739">
      <c r="A739" s="1"/>
      <c r="C739" s="1"/>
    </row>
    <row r="740">
      <c r="A740" s="1"/>
      <c r="C740" s="1"/>
    </row>
    <row r="741">
      <c r="A741" s="1"/>
      <c r="C741" s="1"/>
    </row>
    <row r="742">
      <c r="A742" s="1"/>
      <c r="C742" s="1"/>
    </row>
    <row r="743">
      <c r="A743" s="1"/>
      <c r="C743" s="1"/>
    </row>
    <row r="744">
      <c r="A744" s="1"/>
      <c r="C744" s="1"/>
    </row>
    <row r="745">
      <c r="A745" s="1"/>
      <c r="C745" s="1"/>
    </row>
    <row r="746">
      <c r="A746" s="1"/>
      <c r="C746" s="1"/>
    </row>
    <row r="747">
      <c r="A747" s="1"/>
      <c r="C747" s="1"/>
    </row>
    <row r="748">
      <c r="A748" s="1"/>
      <c r="C748" s="1"/>
    </row>
    <row r="749">
      <c r="A749" s="1"/>
      <c r="C749" s="1"/>
    </row>
    <row r="750">
      <c r="A750" s="1"/>
      <c r="C750" s="1"/>
    </row>
    <row r="751">
      <c r="A751" s="1"/>
      <c r="C751" s="1"/>
    </row>
    <row r="752">
      <c r="A752" s="1"/>
      <c r="C752" s="1"/>
    </row>
    <row r="753">
      <c r="A753" s="1"/>
      <c r="C753" s="1"/>
    </row>
    <row r="754">
      <c r="A754" s="1"/>
      <c r="C754" s="1"/>
    </row>
    <row r="755">
      <c r="A755" s="1"/>
      <c r="C755" s="1"/>
    </row>
    <row r="756">
      <c r="A756" s="1"/>
      <c r="C756" s="1"/>
    </row>
    <row r="757">
      <c r="A757" s="1"/>
      <c r="C757" s="1"/>
    </row>
    <row r="758">
      <c r="A758" s="1"/>
      <c r="C758" s="1"/>
    </row>
    <row r="759">
      <c r="A759" s="1"/>
      <c r="C759" s="1"/>
    </row>
    <row r="760">
      <c r="A760" s="1"/>
      <c r="C760" s="1"/>
    </row>
    <row r="761">
      <c r="A761" s="1"/>
      <c r="C761" s="1"/>
    </row>
    <row r="762">
      <c r="A762" s="1"/>
      <c r="C762" s="1"/>
    </row>
    <row r="763">
      <c r="A763" s="1"/>
      <c r="C763" s="1"/>
    </row>
    <row r="764">
      <c r="A764" s="1"/>
      <c r="C764" s="1"/>
    </row>
    <row r="765">
      <c r="A765" s="1"/>
      <c r="C765" s="1"/>
    </row>
    <row r="766">
      <c r="A766" s="1"/>
      <c r="C766" s="1"/>
    </row>
    <row r="767">
      <c r="A767" s="1"/>
      <c r="C767" s="1"/>
    </row>
    <row r="768">
      <c r="A768" s="1"/>
      <c r="C768" s="1"/>
    </row>
    <row r="769">
      <c r="A769" s="1"/>
      <c r="C769" s="1"/>
    </row>
    <row r="770">
      <c r="A770" s="1"/>
      <c r="C770" s="1"/>
    </row>
    <row r="771">
      <c r="A771" s="1"/>
      <c r="C771" s="1"/>
    </row>
    <row r="772">
      <c r="A772" s="1"/>
      <c r="C772" s="1"/>
    </row>
    <row r="773">
      <c r="A773" s="1"/>
      <c r="C773" s="1"/>
    </row>
    <row r="774">
      <c r="A774" s="1"/>
      <c r="C774" s="1"/>
    </row>
    <row r="775">
      <c r="A775" s="1"/>
      <c r="C775" s="1"/>
    </row>
    <row r="776">
      <c r="A776" s="1"/>
      <c r="C776" s="1"/>
    </row>
    <row r="777">
      <c r="A777" s="1"/>
      <c r="C777" s="1"/>
    </row>
    <row r="778">
      <c r="A778" s="1"/>
      <c r="C778" s="1"/>
    </row>
    <row r="779">
      <c r="A779" s="1"/>
      <c r="C779" s="1"/>
    </row>
    <row r="780">
      <c r="A780" s="1"/>
      <c r="C780" s="1"/>
    </row>
    <row r="781">
      <c r="A781" s="1"/>
      <c r="C781" s="1"/>
    </row>
    <row r="782">
      <c r="A782" s="1"/>
      <c r="C782" s="1"/>
    </row>
    <row r="783">
      <c r="A783" s="1"/>
      <c r="C783" s="1"/>
    </row>
    <row r="784">
      <c r="A784" s="1"/>
      <c r="C784" s="1"/>
    </row>
    <row r="785">
      <c r="A785" s="1"/>
      <c r="C785" s="1"/>
    </row>
    <row r="786">
      <c r="A786" s="1"/>
      <c r="C786" s="1"/>
    </row>
    <row r="787">
      <c r="A787" s="1"/>
      <c r="C787" s="1"/>
    </row>
    <row r="788">
      <c r="A788" s="1"/>
      <c r="C788" s="1"/>
    </row>
    <row r="789">
      <c r="A789" s="1"/>
      <c r="C789" s="1"/>
    </row>
    <row r="790">
      <c r="A790" s="1"/>
      <c r="C790" s="1"/>
    </row>
    <row r="791">
      <c r="A791" s="1"/>
      <c r="C791" s="1"/>
    </row>
    <row r="792">
      <c r="A792" s="1"/>
      <c r="C792" s="1"/>
    </row>
    <row r="793">
      <c r="A793" s="1"/>
      <c r="C793" s="1"/>
    </row>
    <row r="794">
      <c r="A794" s="1"/>
      <c r="C794" s="1"/>
    </row>
    <row r="795">
      <c r="A795" s="1"/>
      <c r="C795" s="1"/>
    </row>
    <row r="796">
      <c r="A796" s="1"/>
      <c r="C796" s="1"/>
    </row>
    <row r="797">
      <c r="A797" s="1"/>
      <c r="C797" s="1"/>
    </row>
    <row r="798">
      <c r="A798" s="1"/>
      <c r="C798" s="1"/>
    </row>
    <row r="799">
      <c r="A799" s="1"/>
      <c r="C799" s="1"/>
    </row>
    <row r="800">
      <c r="A800" s="1"/>
      <c r="C800" s="1"/>
    </row>
    <row r="801">
      <c r="A801" s="1"/>
      <c r="C801" s="1"/>
    </row>
    <row r="802">
      <c r="A802" s="1"/>
      <c r="C802" s="1"/>
    </row>
    <row r="803">
      <c r="A803" s="1"/>
      <c r="C803" s="1"/>
    </row>
    <row r="804">
      <c r="A804" s="1"/>
      <c r="C804" s="1"/>
    </row>
    <row r="805">
      <c r="A805" s="1"/>
      <c r="C805" s="1"/>
    </row>
    <row r="806">
      <c r="A806" s="1"/>
      <c r="C806" s="1"/>
    </row>
    <row r="807">
      <c r="A807" s="1"/>
      <c r="C807" s="1"/>
    </row>
    <row r="808">
      <c r="A808" s="1"/>
      <c r="C808" s="1"/>
    </row>
    <row r="809">
      <c r="A809" s="1"/>
      <c r="C809" s="1"/>
    </row>
    <row r="810">
      <c r="A810" s="1"/>
      <c r="C810" s="1"/>
    </row>
    <row r="811">
      <c r="A811" s="1"/>
      <c r="C811" s="1"/>
    </row>
    <row r="812">
      <c r="A812" s="1"/>
      <c r="C812" s="1"/>
    </row>
    <row r="813">
      <c r="A813" s="1"/>
      <c r="C813" s="1"/>
    </row>
    <row r="814">
      <c r="A814" s="1"/>
      <c r="C814" s="1"/>
    </row>
    <row r="815">
      <c r="A815" s="1"/>
      <c r="C815" s="1"/>
    </row>
    <row r="816">
      <c r="A816" s="1"/>
      <c r="C816" s="1"/>
    </row>
    <row r="817">
      <c r="A817" s="1"/>
      <c r="C817" s="1"/>
    </row>
    <row r="818">
      <c r="A818" s="1"/>
      <c r="C818" s="1"/>
    </row>
    <row r="819">
      <c r="A819" s="1"/>
      <c r="C819" s="1"/>
    </row>
    <row r="820">
      <c r="A820" s="1"/>
      <c r="C820" s="1"/>
    </row>
    <row r="821">
      <c r="A821" s="1"/>
      <c r="C821" s="1"/>
    </row>
    <row r="822">
      <c r="A822" s="1"/>
      <c r="C822" s="1"/>
    </row>
    <row r="823">
      <c r="A823" s="1"/>
      <c r="C823" s="1"/>
    </row>
    <row r="824">
      <c r="A824" s="1"/>
      <c r="C824" s="1"/>
    </row>
    <row r="825">
      <c r="A825" s="1"/>
      <c r="C825" s="1"/>
    </row>
    <row r="826">
      <c r="A826" s="1"/>
      <c r="C826" s="1"/>
    </row>
    <row r="827">
      <c r="A827" s="1"/>
      <c r="C827" s="1"/>
    </row>
    <row r="828">
      <c r="A828" s="1"/>
      <c r="C828" s="1"/>
    </row>
    <row r="829">
      <c r="A829" s="1"/>
      <c r="C829" s="1"/>
    </row>
    <row r="830">
      <c r="A830" s="1"/>
      <c r="C830" s="1"/>
    </row>
    <row r="831">
      <c r="A831" s="1"/>
      <c r="C831" s="1"/>
    </row>
    <row r="832">
      <c r="A832" s="1"/>
      <c r="C832" s="1"/>
    </row>
    <row r="833">
      <c r="A833" s="1"/>
      <c r="C833" s="1"/>
    </row>
    <row r="834">
      <c r="A834" s="1"/>
      <c r="C834" s="1"/>
    </row>
    <row r="835">
      <c r="A835" s="1"/>
      <c r="C835" s="1"/>
    </row>
    <row r="836">
      <c r="A836" s="1"/>
      <c r="C836" s="1"/>
    </row>
    <row r="837">
      <c r="A837" s="1"/>
      <c r="C837" s="1"/>
    </row>
    <row r="838">
      <c r="A838" s="1"/>
      <c r="C838" s="1"/>
    </row>
    <row r="839">
      <c r="A839" s="1"/>
      <c r="C839" s="1"/>
    </row>
    <row r="840">
      <c r="A840" s="1"/>
      <c r="C840" s="1"/>
    </row>
    <row r="841">
      <c r="A841" s="1"/>
      <c r="C841" s="1"/>
    </row>
    <row r="842">
      <c r="A842" s="1"/>
      <c r="C842" s="1"/>
    </row>
    <row r="843">
      <c r="A843" s="1"/>
      <c r="C843" s="1"/>
    </row>
    <row r="844">
      <c r="A844" s="1"/>
      <c r="C844" s="1"/>
    </row>
    <row r="845">
      <c r="A845" s="1"/>
      <c r="C845" s="1"/>
    </row>
    <row r="846">
      <c r="A846" s="1"/>
      <c r="C846" s="1"/>
    </row>
    <row r="847">
      <c r="A847" s="1"/>
      <c r="C847" s="1"/>
    </row>
    <row r="848">
      <c r="A848" s="1"/>
      <c r="C848" s="1"/>
    </row>
    <row r="849">
      <c r="A849" s="1"/>
      <c r="C849" s="1"/>
    </row>
    <row r="850">
      <c r="A850" s="1"/>
      <c r="C850" s="1"/>
    </row>
    <row r="851">
      <c r="A851" s="1"/>
      <c r="C851" s="1"/>
    </row>
    <row r="852">
      <c r="A852" s="1"/>
      <c r="C852" s="1"/>
    </row>
    <row r="853">
      <c r="A853" s="1"/>
      <c r="C853" s="1"/>
    </row>
    <row r="854">
      <c r="A854" s="1"/>
      <c r="C854" s="1"/>
    </row>
    <row r="855">
      <c r="A855" s="1"/>
      <c r="C855" s="1"/>
    </row>
    <row r="856">
      <c r="A856" s="1"/>
      <c r="C856" s="1"/>
    </row>
    <row r="857">
      <c r="A857" s="1"/>
      <c r="C857" s="1"/>
    </row>
    <row r="858">
      <c r="A858" s="1"/>
      <c r="C858" s="1"/>
    </row>
    <row r="859">
      <c r="A859" s="1"/>
      <c r="C859" s="1"/>
    </row>
    <row r="860">
      <c r="A860" s="1"/>
      <c r="C860" s="1"/>
    </row>
    <row r="861">
      <c r="A861" s="1"/>
      <c r="C861" s="1"/>
    </row>
    <row r="862">
      <c r="A862" s="1"/>
      <c r="C862" s="1"/>
    </row>
    <row r="863">
      <c r="A863" s="1"/>
      <c r="C863" s="1"/>
    </row>
    <row r="864">
      <c r="A864" s="1"/>
      <c r="C864" s="1"/>
    </row>
    <row r="865">
      <c r="A865" s="1"/>
      <c r="C865" s="1"/>
    </row>
    <row r="866">
      <c r="A866" s="1"/>
      <c r="C866" s="1"/>
    </row>
    <row r="867">
      <c r="A867" s="1"/>
      <c r="C867" s="1"/>
    </row>
    <row r="868">
      <c r="A868" s="1"/>
      <c r="C868" s="1"/>
    </row>
    <row r="869">
      <c r="A869" s="1"/>
      <c r="C869" s="1"/>
    </row>
    <row r="870">
      <c r="A870" s="1"/>
      <c r="C870" s="1"/>
    </row>
    <row r="871">
      <c r="A871" s="1"/>
      <c r="C871" s="1"/>
    </row>
    <row r="872">
      <c r="A872" s="1"/>
      <c r="C872" s="1"/>
    </row>
    <row r="873">
      <c r="A873" s="1"/>
      <c r="C873" s="1"/>
    </row>
    <row r="874">
      <c r="A874" s="1"/>
      <c r="C874" s="1"/>
    </row>
    <row r="875">
      <c r="A875" s="1"/>
      <c r="C875" s="1"/>
    </row>
    <row r="876">
      <c r="A876" s="1"/>
      <c r="C876" s="1"/>
    </row>
    <row r="877">
      <c r="A877" s="1"/>
      <c r="C877" s="1"/>
    </row>
    <row r="878">
      <c r="A878" s="1"/>
      <c r="C878" s="1"/>
    </row>
    <row r="879">
      <c r="A879" s="1"/>
      <c r="C879" s="1"/>
    </row>
    <row r="880">
      <c r="A880" s="1"/>
      <c r="C880" s="1"/>
    </row>
    <row r="881">
      <c r="A881" s="1"/>
      <c r="C881" s="1"/>
    </row>
    <row r="882">
      <c r="A882" s="1"/>
      <c r="C882" s="1"/>
    </row>
    <row r="883">
      <c r="A883" s="1"/>
      <c r="C883" s="1"/>
    </row>
    <row r="884">
      <c r="A884" s="1"/>
      <c r="C884" s="1"/>
    </row>
    <row r="885">
      <c r="A885" s="1"/>
      <c r="C885" s="1"/>
    </row>
    <row r="886">
      <c r="A886" s="1"/>
      <c r="C886" s="1"/>
    </row>
    <row r="887">
      <c r="A887" s="1"/>
      <c r="C887" s="1"/>
    </row>
    <row r="888">
      <c r="A888" s="1"/>
      <c r="C888" s="1"/>
    </row>
    <row r="889">
      <c r="A889" s="1"/>
      <c r="C889" s="1"/>
    </row>
    <row r="890">
      <c r="A890" s="1"/>
      <c r="C890" s="1"/>
    </row>
    <row r="891">
      <c r="A891" s="1"/>
      <c r="C891" s="1"/>
    </row>
    <row r="892">
      <c r="A892" s="1"/>
      <c r="C892" s="1"/>
    </row>
    <row r="893">
      <c r="A893" s="1"/>
      <c r="C893" s="1"/>
    </row>
    <row r="894">
      <c r="A894" s="1"/>
      <c r="C894" s="1"/>
    </row>
    <row r="895">
      <c r="A895" s="1"/>
      <c r="C895" s="1"/>
    </row>
    <row r="896">
      <c r="A896" s="1"/>
      <c r="C896" s="1"/>
    </row>
    <row r="897">
      <c r="A897" s="1"/>
      <c r="C897" s="1"/>
    </row>
    <row r="898">
      <c r="A898" s="1"/>
      <c r="C898" s="1"/>
    </row>
    <row r="899">
      <c r="A899" s="1"/>
      <c r="C899" s="1"/>
    </row>
    <row r="900">
      <c r="A900" s="1"/>
      <c r="C900" s="1"/>
    </row>
    <row r="901">
      <c r="A901" s="1"/>
      <c r="C901" s="1"/>
    </row>
    <row r="902">
      <c r="A902" s="1"/>
      <c r="C902" s="1"/>
    </row>
    <row r="903">
      <c r="A903" s="1"/>
      <c r="C903" s="1"/>
    </row>
    <row r="904">
      <c r="A904" s="1"/>
      <c r="C904" s="1"/>
    </row>
    <row r="905">
      <c r="A905" s="1"/>
      <c r="C905" s="1"/>
    </row>
    <row r="906">
      <c r="A906" s="1"/>
      <c r="C906" s="1"/>
    </row>
    <row r="907">
      <c r="A907" s="1"/>
      <c r="C907" s="1"/>
    </row>
    <row r="908">
      <c r="A908" s="1"/>
      <c r="C908" s="1"/>
    </row>
    <row r="909">
      <c r="A909" s="1"/>
      <c r="C909" s="1"/>
    </row>
    <row r="910">
      <c r="A910" s="1"/>
      <c r="C910" s="1"/>
    </row>
    <row r="911">
      <c r="A911" s="1"/>
      <c r="C911" s="1"/>
    </row>
    <row r="912">
      <c r="A912" s="1"/>
      <c r="C912" s="1"/>
    </row>
    <row r="913">
      <c r="A913" s="1"/>
      <c r="C913" s="1"/>
    </row>
    <row r="914">
      <c r="A914" s="1"/>
      <c r="C914" s="1"/>
    </row>
    <row r="915">
      <c r="A915" s="1"/>
      <c r="C915" s="1"/>
    </row>
    <row r="916">
      <c r="A916" s="1"/>
      <c r="C916" s="1"/>
    </row>
    <row r="917">
      <c r="A917" s="1"/>
      <c r="C917" s="1"/>
    </row>
    <row r="918">
      <c r="A918" s="1"/>
      <c r="C918" s="1"/>
    </row>
    <row r="919">
      <c r="A919" s="1"/>
      <c r="C919" s="1"/>
    </row>
    <row r="920">
      <c r="A920" s="1"/>
      <c r="C920" s="1"/>
    </row>
    <row r="921">
      <c r="A921" s="1"/>
      <c r="C921" s="1"/>
    </row>
    <row r="922">
      <c r="A922" s="1"/>
      <c r="C922" s="1"/>
    </row>
    <row r="923">
      <c r="A923" s="1"/>
      <c r="C923" s="1"/>
    </row>
    <row r="924">
      <c r="A924" s="1"/>
      <c r="C924" s="1"/>
    </row>
    <row r="925">
      <c r="A925" s="1"/>
      <c r="C925" s="1"/>
    </row>
    <row r="926">
      <c r="A926" s="1"/>
      <c r="C926" s="1"/>
    </row>
    <row r="927">
      <c r="A927" s="1"/>
      <c r="C927" s="1"/>
    </row>
    <row r="928">
      <c r="A928" s="1"/>
      <c r="C928" s="1"/>
    </row>
    <row r="929">
      <c r="A929" s="1"/>
      <c r="C929" s="1"/>
    </row>
    <row r="930">
      <c r="A930" s="1"/>
      <c r="C930" s="1"/>
    </row>
    <row r="931">
      <c r="A931" s="1"/>
      <c r="C931" s="1"/>
    </row>
    <row r="932">
      <c r="A932" s="1"/>
      <c r="C932" s="1"/>
    </row>
    <row r="933">
      <c r="A933" s="1"/>
      <c r="C933" s="1"/>
    </row>
    <row r="934">
      <c r="A934" s="1"/>
      <c r="C934" s="1"/>
    </row>
    <row r="935">
      <c r="A935" s="1"/>
      <c r="C935" s="1"/>
    </row>
    <row r="936">
      <c r="A936" s="1"/>
      <c r="C936" s="1"/>
    </row>
    <row r="937">
      <c r="A937" s="1"/>
      <c r="C937" s="1"/>
    </row>
    <row r="938">
      <c r="A938" s="1"/>
      <c r="C938" s="1"/>
    </row>
    <row r="939">
      <c r="A939" s="1"/>
      <c r="C939" s="1"/>
    </row>
    <row r="940">
      <c r="A940" s="1"/>
      <c r="C940" s="1"/>
    </row>
    <row r="941">
      <c r="A941" s="1"/>
      <c r="C941" s="1"/>
    </row>
    <row r="942">
      <c r="A942" s="1"/>
      <c r="C942" s="1"/>
    </row>
    <row r="943">
      <c r="A943" s="1"/>
      <c r="C943" s="1"/>
    </row>
    <row r="944">
      <c r="A944" s="1"/>
      <c r="C944" s="1"/>
    </row>
    <row r="945">
      <c r="A945" s="1"/>
      <c r="C945" s="1"/>
    </row>
    <row r="946">
      <c r="A946" s="1"/>
      <c r="C946" s="1"/>
    </row>
    <row r="947">
      <c r="A947" s="1"/>
      <c r="C947" s="1"/>
    </row>
    <row r="948">
      <c r="A948" s="1"/>
      <c r="C948" s="1"/>
    </row>
    <row r="949">
      <c r="A949" s="1"/>
      <c r="C949" s="1"/>
    </row>
    <row r="950">
      <c r="A950" s="1"/>
      <c r="C950" s="1"/>
    </row>
    <row r="951">
      <c r="A951" s="1"/>
      <c r="C951" s="1"/>
    </row>
    <row r="952">
      <c r="A952" s="1"/>
      <c r="C952" s="1"/>
    </row>
    <row r="953">
      <c r="A953" s="1"/>
      <c r="C953" s="1"/>
    </row>
    <row r="954">
      <c r="A954" s="1"/>
      <c r="C954" s="1"/>
    </row>
    <row r="955">
      <c r="A955" s="1"/>
      <c r="C955" s="1"/>
    </row>
    <row r="956">
      <c r="A956" s="1"/>
      <c r="C956" s="1"/>
    </row>
    <row r="957">
      <c r="A957" s="1"/>
      <c r="C957" s="1"/>
    </row>
    <row r="958">
      <c r="A958" s="1"/>
      <c r="C958" s="1"/>
    </row>
    <row r="959">
      <c r="A959" s="1"/>
      <c r="C959" s="1"/>
    </row>
    <row r="960">
      <c r="A960" s="1"/>
      <c r="C960" s="1"/>
    </row>
    <row r="961">
      <c r="A961" s="1"/>
      <c r="C961" s="1"/>
    </row>
    <row r="962">
      <c r="A962" s="1"/>
      <c r="C962" s="1"/>
    </row>
    <row r="963">
      <c r="A963" s="1"/>
      <c r="C963" s="1"/>
    </row>
    <row r="964">
      <c r="A964" s="1"/>
      <c r="C964" s="1"/>
    </row>
    <row r="965">
      <c r="A965" s="1"/>
      <c r="C965" s="1"/>
    </row>
    <row r="966">
      <c r="A966" s="1"/>
      <c r="C966" s="1"/>
    </row>
    <row r="967">
      <c r="A967" s="1"/>
      <c r="C967" s="1"/>
    </row>
    <row r="968">
      <c r="A968" s="1"/>
      <c r="C968" s="1"/>
    </row>
    <row r="969">
      <c r="A969" s="1"/>
      <c r="C969" s="1"/>
    </row>
    <row r="970">
      <c r="A970" s="1"/>
      <c r="C970" s="1"/>
    </row>
    <row r="971">
      <c r="A971" s="1"/>
      <c r="C971" s="1"/>
    </row>
    <row r="972">
      <c r="A972" s="1"/>
      <c r="C972" s="1"/>
    </row>
    <row r="973">
      <c r="A973" s="1"/>
      <c r="C973" s="1"/>
    </row>
    <row r="974">
      <c r="A974" s="1"/>
      <c r="C974" s="1"/>
    </row>
    <row r="975">
      <c r="A975" s="1"/>
      <c r="C975" s="1"/>
    </row>
    <row r="976">
      <c r="A976" s="1"/>
      <c r="C976" s="1"/>
    </row>
    <row r="977">
      <c r="A977" s="1"/>
      <c r="C977" s="1"/>
    </row>
    <row r="978">
      <c r="A978" s="1"/>
      <c r="C978" s="1"/>
    </row>
    <row r="979">
      <c r="A979" s="1"/>
      <c r="C979" s="1"/>
    </row>
    <row r="980">
      <c r="A980" s="1"/>
      <c r="C980" s="1"/>
    </row>
    <row r="981">
      <c r="A981" s="1"/>
      <c r="C981" s="1"/>
    </row>
    <row r="982">
      <c r="A982" s="1"/>
      <c r="C982" s="1"/>
    </row>
    <row r="983">
      <c r="A983" s="1"/>
      <c r="C983" s="1"/>
    </row>
    <row r="984">
      <c r="A984" s="1"/>
      <c r="C984" s="1"/>
    </row>
    <row r="985">
      <c r="A985" s="1"/>
      <c r="C985" s="1"/>
    </row>
    <row r="986">
      <c r="A986" s="1"/>
      <c r="C986" s="1"/>
    </row>
    <row r="987">
      <c r="A987" s="1"/>
      <c r="C987" s="1"/>
    </row>
    <row r="988">
      <c r="A988" s="1"/>
      <c r="C988" s="1"/>
    </row>
    <row r="989">
      <c r="A989" s="1"/>
      <c r="C989" s="1"/>
    </row>
    <row r="990">
      <c r="A990" s="1"/>
      <c r="C990" s="1"/>
    </row>
    <row r="991">
      <c r="A991" s="1"/>
      <c r="C991" s="1"/>
    </row>
    <row r="992">
      <c r="A992" s="1"/>
      <c r="C992" s="1"/>
    </row>
    <row r="993">
      <c r="A993" s="1"/>
      <c r="C993" s="1"/>
    </row>
    <row r="994">
      <c r="A994" s="1"/>
      <c r="C994" s="1"/>
    </row>
    <row r="995">
      <c r="A995" s="1"/>
      <c r="C995" s="1"/>
    </row>
    <row r="996">
      <c r="A996" s="1"/>
      <c r="C996" s="1"/>
    </row>
    <row r="997">
      <c r="A997" s="1"/>
      <c r="C997" s="1"/>
    </row>
    <row r="998">
      <c r="A998" s="1"/>
      <c r="C998" s="1"/>
    </row>
    <row r="999">
      <c r="A999" s="1"/>
      <c r="C999" s="1"/>
    </row>
    <row r="1000">
      <c r="A1000" s="1"/>
      <c r="C1000" s="1"/>
    </row>
  </sheetData>
  <mergeCells count="105">
    <mergeCell ref="J4:J7"/>
    <mergeCell ref="K4:K7"/>
    <mergeCell ref="L4:L7"/>
    <mergeCell ref="M4:M7"/>
    <mergeCell ref="Q4:Q7"/>
    <mergeCell ref="R4:R7"/>
    <mergeCell ref="R8:R10"/>
    <mergeCell ref="G4:G7"/>
    <mergeCell ref="G8:G10"/>
    <mergeCell ref="H8:H10"/>
    <mergeCell ref="I8:I10"/>
    <mergeCell ref="J8:J10"/>
    <mergeCell ref="K8:K10"/>
    <mergeCell ref="L8:L10"/>
    <mergeCell ref="M8:M10"/>
    <mergeCell ref="N4:N7"/>
    <mergeCell ref="O4:O7"/>
    <mergeCell ref="D1:F1"/>
    <mergeCell ref="G1:Q1"/>
    <mergeCell ref="D2:F2"/>
    <mergeCell ref="A4:A7"/>
    <mergeCell ref="H4:H7"/>
    <mergeCell ref="I4:I7"/>
    <mergeCell ref="A8:A10"/>
    <mergeCell ref="Q8:Q10"/>
    <mergeCell ref="K11:K35"/>
    <mergeCell ref="L11:L35"/>
    <mergeCell ref="O11:O35"/>
    <mergeCell ref="P11:P35"/>
    <mergeCell ref="Q11:Q35"/>
    <mergeCell ref="R11:R35"/>
    <mergeCell ref="P36:P41"/>
    <mergeCell ref="Q36:Q41"/>
    <mergeCell ref="R36:R41"/>
    <mergeCell ref="G11:G35"/>
    <mergeCell ref="G36:G41"/>
    <mergeCell ref="H36:H41"/>
    <mergeCell ref="I36:I41"/>
    <mergeCell ref="J36:J41"/>
    <mergeCell ref="K36:K41"/>
    <mergeCell ref="H11:H35"/>
    <mergeCell ref="G42:G58"/>
    <mergeCell ref="H42:H58"/>
    <mergeCell ref="N8:N10"/>
    <mergeCell ref="O8:O10"/>
    <mergeCell ref="A11:A35"/>
    <mergeCell ref="I11:I35"/>
    <mergeCell ref="J11:J35"/>
    <mergeCell ref="A36:A41"/>
    <mergeCell ref="O42:O58"/>
    <mergeCell ref="H67:H70"/>
    <mergeCell ref="I67:I70"/>
    <mergeCell ref="I42:I58"/>
    <mergeCell ref="J42:J58"/>
    <mergeCell ref="G60:G66"/>
    <mergeCell ref="H60:H66"/>
    <mergeCell ref="I60:I66"/>
    <mergeCell ref="J60:J66"/>
    <mergeCell ref="G67:G70"/>
    <mergeCell ref="J67:J70"/>
    <mergeCell ref="L67:L70"/>
    <mergeCell ref="M67:M70"/>
    <mergeCell ref="N67:N70"/>
    <mergeCell ref="O67:O70"/>
    <mergeCell ref="P67:P70"/>
    <mergeCell ref="Q67:Q70"/>
    <mergeCell ref="R67:R70"/>
    <mergeCell ref="M71:M73"/>
    <mergeCell ref="N71:N73"/>
    <mergeCell ref="O71:O73"/>
    <mergeCell ref="P71:P73"/>
    <mergeCell ref="Q71:Q73"/>
    <mergeCell ref="R71:R73"/>
    <mergeCell ref="K67:K70"/>
    <mergeCell ref="G71:G73"/>
    <mergeCell ref="H71:H73"/>
    <mergeCell ref="I71:I73"/>
    <mergeCell ref="J71:J73"/>
    <mergeCell ref="K71:K73"/>
    <mergeCell ref="L71:L73"/>
    <mergeCell ref="M11:M35"/>
    <mergeCell ref="N11:N35"/>
    <mergeCell ref="L36:L41"/>
    <mergeCell ref="M36:M41"/>
    <mergeCell ref="N36:N41"/>
    <mergeCell ref="O36:O41"/>
    <mergeCell ref="M42:M58"/>
    <mergeCell ref="N42:N58"/>
    <mergeCell ref="P42:P58"/>
    <mergeCell ref="Q42:Q58"/>
    <mergeCell ref="R42:R58"/>
    <mergeCell ref="A42:A58"/>
    <mergeCell ref="A60:A66"/>
    <mergeCell ref="A67:A70"/>
    <mergeCell ref="A71:A73"/>
    <mergeCell ref="P60:P66"/>
    <mergeCell ref="Q60:Q66"/>
    <mergeCell ref="R60:R66"/>
    <mergeCell ref="K42:K58"/>
    <mergeCell ref="L42:L58"/>
    <mergeCell ref="K60:K66"/>
    <mergeCell ref="L60:L66"/>
    <mergeCell ref="M60:M66"/>
    <mergeCell ref="N60:N66"/>
    <mergeCell ref="O60:O6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22.13"/>
    <col customWidth="1" min="4" max="4" width="9.88"/>
    <col customWidth="1" min="5" max="5" width="8.5"/>
    <col customWidth="1" min="6" max="15" width="12.75"/>
    <col customWidth="1" min="16" max="16" width="9.38"/>
    <col customWidth="1" min="17" max="17" width="12.75"/>
    <col customWidth="1" min="18" max="18" width="12.38"/>
    <col customWidth="1" min="19" max="26" width="7.63"/>
  </cols>
  <sheetData>
    <row r="1">
      <c r="A1" s="1"/>
      <c r="C1" s="1"/>
      <c r="D1" s="2" t="s">
        <v>0</v>
      </c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6"/>
      <c r="P1" s="6"/>
      <c r="Q1" s="7"/>
    </row>
    <row r="2" ht="37.5" customHeight="1">
      <c r="A2" s="1"/>
      <c r="C2" s="1"/>
      <c r="D2" s="8" t="s">
        <v>111</v>
      </c>
      <c r="E2" s="9"/>
      <c r="F2" s="10"/>
      <c r="L2" s="11"/>
    </row>
    <row r="3" ht="70.5" customHeight="1">
      <c r="A3" s="12" t="s">
        <v>3</v>
      </c>
      <c r="B3" s="13"/>
      <c r="C3" s="12" t="s">
        <v>4</v>
      </c>
      <c r="D3" s="14" t="s">
        <v>5</v>
      </c>
      <c r="E3" s="14" t="s">
        <v>6</v>
      </c>
      <c r="F3" s="14" t="s">
        <v>7</v>
      </c>
      <c r="G3" s="15" t="s">
        <v>8</v>
      </c>
      <c r="H3" s="15" t="s">
        <v>8</v>
      </c>
      <c r="I3" s="15" t="s">
        <v>8</v>
      </c>
      <c r="J3" s="15" t="s">
        <v>8</v>
      </c>
      <c r="K3" s="15" t="s">
        <v>8</v>
      </c>
      <c r="L3" s="15" t="s">
        <v>8</v>
      </c>
      <c r="M3" s="15" t="s">
        <v>8</v>
      </c>
      <c r="N3" s="15" t="s">
        <v>8</v>
      </c>
      <c r="O3" s="15" t="s">
        <v>8</v>
      </c>
      <c r="P3" s="16" t="s">
        <v>9</v>
      </c>
      <c r="Q3" s="15" t="s">
        <v>8</v>
      </c>
      <c r="R3" s="16" t="s">
        <v>9</v>
      </c>
    </row>
    <row r="4">
      <c r="A4" s="17" t="s">
        <v>10</v>
      </c>
      <c r="B4" s="18" t="s">
        <v>11</v>
      </c>
      <c r="C4" s="51" t="s">
        <v>12</v>
      </c>
      <c r="D4" s="20"/>
      <c r="E4" s="20"/>
      <c r="F4" s="20"/>
      <c r="G4" s="22"/>
      <c r="H4" s="22"/>
      <c r="I4" s="22"/>
      <c r="J4" s="22"/>
      <c r="K4" s="22"/>
      <c r="L4" s="22"/>
      <c r="M4" s="22"/>
      <c r="N4" s="22"/>
      <c r="O4" s="22"/>
      <c r="P4" s="23"/>
      <c r="Q4" s="22"/>
      <c r="R4" s="22"/>
    </row>
    <row r="5">
      <c r="A5" s="24"/>
      <c r="B5" s="25" t="s">
        <v>13</v>
      </c>
      <c r="C5" s="52" t="s">
        <v>14</v>
      </c>
      <c r="D5" s="27"/>
      <c r="E5" s="27"/>
      <c r="F5" s="27"/>
      <c r="G5" s="29"/>
      <c r="H5" s="29"/>
      <c r="I5" s="29"/>
      <c r="J5" s="29"/>
      <c r="K5" s="29"/>
      <c r="L5" s="29"/>
      <c r="M5" s="29"/>
      <c r="N5" s="29"/>
      <c r="O5" s="29"/>
      <c r="P5" s="30"/>
      <c r="Q5" s="29"/>
      <c r="R5" s="29"/>
    </row>
    <row r="6">
      <c r="A6" s="24"/>
      <c r="B6" s="25" t="s">
        <v>15</v>
      </c>
      <c r="C6" s="52" t="s">
        <v>16</v>
      </c>
      <c r="D6" s="27"/>
      <c r="E6" s="27"/>
      <c r="F6" s="27"/>
      <c r="G6" s="29"/>
      <c r="H6" s="29"/>
      <c r="I6" s="29"/>
      <c r="J6" s="29"/>
      <c r="K6" s="29"/>
      <c r="L6" s="29"/>
      <c r="M6" s="29"/>
      <c r="N6" s="29"/>
      <c r="O6" s="29"/>
      <c r="P6" s="30"/>
      <c r="Q6" s="29"/>
      <c r="R6" s="29"/>
    </row>
    <row r="7">
      <c r="A7" s="31"/>
      <c r="B7" s="32" t="s">
        <v>17</v>
      </c>
      <c r="C7" s="53" t="s">
        <v>18</v>
      </c>
      <c r="D7" s="34"/>
      <c r="E7" s="34"/>
      <c r="F7" s="34"/>
      <c r="G7" s="36"/>
      <c r="H7" s="36"/>
      <c r="I7" s="36"/>
      <c r="J7" s="36"/>
      <c r="K7" s="36"/>
      <c r="L7" s="36"/>
      <c r="M7" s="36"/>
      <c r="N7" s="36"/>
      <c r="O7" s="36"/>
      <c r="P7" s="37"/>
      <c r="Q7" s="36"/>
      <c r="R7" s="36"/>
    </row>
    <row r="8">
      <c r="A8" s="17" t="s">
        <v>19</v>
      </c>
      <c r="B8" s="18" t="s">
        <v>20</v>
      </c>
      <c r="C8" s="51" t="s">
        <v>21</v>
      </c>
      <c r="D8" s="20"/>
      <c r="E8" s="20"/>
      <c r="F8" s="20"/>
      <c r="G8" s="22"/>
      <c r="H8" s="22"/>
      <c r="I8" s="22"/>
      <c r="J8" s="22"/>
      <c r="K8" s="22"/>
      <c r="L8" s="22"/>
      <c r="M8" s="22"/>
      <c r="N8" s="22"/>
      <c r="O8" s="22"/>
      <c r="P8" s="23"/>
      <c r="Q8" s="22"/>
      <c r="R8" s="22"/>
    </row>
    <row r="9">
      <c r="A9" s="24"/>
      <c r="B9" s="25" t="s">
        <v>22</v>
      </c>
      <c r="C9" s="52" t="s">
        <v>23</v>
      </c>
      <c r="D9" s="27"/>
      <c r="E9" s="27"/>
      <c r="F9" s="27"/>
      <c r="G9" s="29"/>
      <c r="H9" s="29"/>
      <c r="I9" s="29"/>
      <c r="J9" s="29"/>
      <c r="K9" s="29"/>
      <c r="L9" s="29"/>
      <c r="M9" s="29"/>
      <c r="N9" s="29"/>
      <c r="O9" s="29"/>
      <c r="P9" s="30"/>
      <c r="Q9" s="29"/>
      <c r="R9" s="29"/>
    </row>
    <row r="10">
      <c r="A10" s="31"/>
      <c r="B10" s="32" t="s">
        <v>24</v>
      </c>
      <c r="C10" s="53" t="s">
        <v>25</v>
      </c>
      <c r="D10" s="34"/>
      <c r="E10" s="34"/>
      <c r="F10" s="34"/>
      <c r="G10" s="36"/>
      <c r="H10" s="36"/>
      <c r="I10" s="36"/>
      <c r="J10" s="36"/>
      <c r="K10" s="36"/>
      <c r="L10" s="36"/>
      <c r="M10" s="36"/>
      <c r="N10" s="36"/>
      <c r="O10" s="36"/>
      <c r="P10" s="37"/>
      <c r="Q10" s="36"/>
      <c r="R10" s="36"/>
    </row>
    <row r="11">
      <c r="A11" s="17" t="s">
        <v>26</v>
      </c>
      <c r="B11" s="18" t="s">
        <v>27</v>
      </c>
      <c r="C11" s="51" t="s">
        <v>28</v>
      </c>
      <c r="D11" s="38">
        <v>0.0</v>
      </c>
      <c r="E11" s="39"/>
      <c r="F11" s="39"/>
      <c r="G11" s="41">
        <v>40.0</v>
      </c>
      <c r="H11" s="41"/>
      <c r="I11" s="41"/>
      <c r="J11" s="41">
        <f>2+5</f>
        <v>7</v>
      </c>
      <c r="K11" s="41"/>
      <c r="L11" s="41"/>
      <c r="M11" s="41"/>
      <c r="N11" s="41"/>
      <c r="O11" s="41">
        <f>5+7</f>
        <v>12</v>
      </c>
      <c r="P11" s="41">
        <v>2.0</v>
      </c>
      <c r="Q11" s="41">
        <f>2</f>
        <v>2</v>
      </c>
      <c r="R11" s="41">
        <v>2.0</v>
      </c>
    </row>
    <row r="12">
      <c r="A12" s="24"/>
      <c r="B12" s="25" t="s">
        <v>29</v>
      </c>
      <c r="C12" s="52" t="s">
        <v>30</v>
      </c>
      <c r="D12" s="42"/>
      <c r="E12" s="42"/>
      <c r="F12" s="42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</row>
    <row r="13">
      <c r="A13" s="24"/>
      <c r="B13" s="25" t="s">
        <v>31</v>
      </c>
      <c r="C13" s="52" t="s">
        <v>32</v>
      </c>
      <c r="D13" s="42"/>
      <c r="E13" s="42"/>
      <c r="F13" s="42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</row>
    <row r="14">
      <c r="A14" s="24"/>
      <c r="B14" s="25" t="s">
        <v>33</v>
      </c>
      <c r="C14" s="52" t="s">
        <v>34</v>
      </c>
      <c r="D14" s="42"/>
      <c r="E14" s="42"/>
      <c r="F14" s="42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</row>
    <row r="15">
      <c r="A15" s="24"/>
      <c r="B15" s="25" t="s">
        <v>35</v>
      </c>
      <c r="C15" s="52" t="s">
        <v>36</v>
      </c>
      <c r="D15" s="42"/>
      <c r="E15" s="42"/>
      <c r="F15" s="42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</row>
    <row r="16">
      <c r="A16" s="24"/>
      <c r="B16" s="25" t="s">
        <v>37</v>
      </c>
      <c r="C16" s="52" t="s">
        <v>38</v>
      </c>
      <c r="D16" s="42"/>
      <c r="E16" s="42"/>
      <c r="F16" s="42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>
      <c r="A17" s="24"/>
      <c r="B17" s="25" t="s">
        <v>39</v>
      </c>
      <c r="C17" s="52" t="s">
        <v>40</v>
      </c>
      <c r="D17" s="42"/>
      <c r="E17" s="42"/>
      <c r="F17" s="42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</row>
    <row r="18">
      <c r="A18" s="24"/>
      <c r="B18" s="25" t="s">
        <v>41</v>
      </c>
      <c r="C18" s="52" t="s">
        <v>42</v>
      </c>
      <c r="D18" s="42"/>
      <c r="E18" s="42"/>
      <c r="F18" s="42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</row>
    <row r="19">
      <c r="A19" s="24"/>
      <c r="B19" s="25" t="s">
        <v>43</v>
      </c>
      <c r="C19" s="52" t="s">
        <v>44</v>
      </c>
      <c r="D19" s="42"/>
      <c r="E19" s="42"/>
      <c r="F19" s="42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</row>
    <row r="20">
      <c r="A20" s="24"/>
      <c r="B20" s="25" t="s">
        <v>45</v>
      </c>
      <c r="C20" s="52" t="s">
        <v>46</v>
      </c>
      <c r="D20" s="42"/>
      <c r="E20" s="42"/>
      <c r="F20" s="42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>
      <c r="A21" s="24"/>
      <c r="B21" s="25" t="s">
        <v>47</v>
      </c>
      <c r="C21" s="52" t="s">
        <v>32</v>
      </c>
      <c r="D21" s="42"/>
      <c r="E21" s="42"/>
      <c r="F21" s="42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</row>
    <row r="22">
      <c r="A22" s="24"/>
      <c r="B22" s="25" t="s">
        <v>48</v>
      </c>
      <c r="C22" s="52" t="s">
        <v>49</v>
      </c>
      <c r="D22" s="42"/>
      <c r="E22" s="42"/>
      <c r="F22" s="42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</row>
    <row r="23">
      <c r="A23" s="24"/>
      <c r="B23" s="25" t="s">
        <v>50</v>
      </c>
      <c r="C23" s="52" t="s">
        <v>51</v>
      </c>
      <c r="D23" s="42"/>
      <c r="E23" s="42"/>
      <c r="F23" s="42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</row>
    <row r="24">
      <c r="A24" s="24"/>
      <c r="B24" s="25" t="s">
        <v>52</v>
      </c>
      <c r="C24" s="52" t="s">
        <v>53</v>
      </c>
      <c r="D24" s="42"/>
      <c r="E24" s="42"/>
      <c r="F24" s="42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</row>
    <row r="25">
      <c r="A25" s="24"/>
      <c r="B25" s="25" t="s">
        <v>54</v>
      </c>
      <c r="C25" s="52" t="s">
        <v>55</v>
      </c>
      <c r="D25" s="42"/>
      <c r="E25" s="42"/>
      <c r="F25" s="42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</row>
    <row r="26">
      <c r="A26" s="24"/>
      <c r="B26" s="25" t="s">
        <v>56</v>
      </c>
      <c r="C26" s="52" t="s">
        <v>57</v>
      </c>
      <c r="D26" s="42"/>
      <c r="E26" s="42"/>
      <c r="F26" s="42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</row>
    <row r="27">
      <c r="A27" s="24"/>
      <c r="B27" s="25" t="s">
        <v>58</v>
      </c>
      <c r="C27" s="52" t="s">
        <v>59</v>
      </c>
      <c r="D27" s="42"/>
      <c r="E27" s="42"/>
      <c r="F27" s="42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</row>
    <row r="28">
      <c r="A28" s="24"/>
      <c r="B28" s="25" t="s">
        <v>60</v>
      </c>
      <c r="C28" s="52" t="s">
        <v>61</v>
      </c>
      <c r="D28" s="42"/>
      <c r="E28" s="42"/>
      <c r="F28" s="42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</row>
    <row r="29">
      <c r="A29" s="24"/>
      <c r="B29" s="25" t="s">
        <v>62</v>
      </c>
      <c r="C29" s="52" t="s">
        <v>53</v>
      </c>
      <c r="D29" s="42"/>
      <c r="E29" s="42"/>
      <c r="F29" s="42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>
      <c r="A30" s="24"/>
      <c r="B30" s="25" t="s">
        <v>63</v>
      </c>
      <c r="C30" s="52" t="s">
        <v>55</v>
      </c>
      <c r="D30" s="42"/>
      <c r="E30" s="42"/>
      <c r="F30" s="42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</row>
    <row r="31">
      <c r="A31" s="24"/>
      <c r="B31" s="25" t="s">
        <v>64</v>
      </c>
      <c r="C31" s="52" t="s">
        <v>57</v>
      </c>
      <c r="D31" s="42"/>
      <c r="E31" s="42"/>
      <c r="F31" s="42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</row>
    <row r="32">
      <c r="A32" s="24"/>
      <c r="B32" s="25" t="s">
        <v>65</v>
      </c>
      <c r="C32" s="52" t="s">
        <v>42</v>
      </c>
      <c r="D32" s="42"/>
      <c r="E32" s="42"/>
      <c r="F32" s="42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</row>
    <row r="33">
      <c r="A33" s="24"/>
      <c r="B33" s="25" t="s">
        <v>66</v>
      </c>
      <c r="C33" s="52" t="s">
        <v>67</v>
      </c>
      <c r="D33" s="42"/>
      <c r="E33" s="42"/>
      <c r="F33" s="42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>
      <c r="A34" s="24"/>
      <c r="B34" s="25" t="s">
        <v>68</v>
      </c>
      <c r="C34" s="52" t="s">
        <v>69</v>
      </c>
      <c r="D34" s="42"/>
      <c r="E34" s="42"/>
      <c r="F34" s="42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</row>
    <row r="35">
      <c r="A35" s="31"/>
      <c r="B35" s="32" t="s">
        <v>70</v>
      </c>
      <c r="C35" s="53" t="s">
        <v>32</v>
      </c>
      <c r="D35" s="44"/>
      <c r="E35" s="45">
        <v>40.0</v>
      </c>
      <c r="F35" s="54">
        <f>E35-D11</f>
        <v>40</v>
      </c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</row>
    <row r="36">
      <c r="A36" s="17" t="s">
        <v>71</v>
      </c>
      <c r="B36" s="18" t="s">
        <v>72</v>
      </c>
      <c r="C36" s="51" t="s">
        <v>73</v>
      </c>
      <c r="D36" s="48">
        <v>74.0</v>
      </c>
      <c r="E36" s="39"/>
      <c r="F36" s="39"/>
      <c r="G36" s="41">
        <v>33.0</v>
      </c>
      <c r="H36" s="41"/>
      <c r="I36" s="41"/>
      <c r="J36" s="41">
        <v>15.0</v>
      </c>
      <c r="K36" s="41">
        <f>12</f>
        <v>12</v>
      </c>
      <c r="L36" s="41"/>
      <c r="M36" s="41"/>
      <c r="N36" s="41"/>
      <c r="O36" s="41"/>
      <c r="P36" s="41"/>
      <c r="Q36" s="41">
        <v>20.0</v>
      </c>
      <c r="R36" s="41">
        <v>1.0</v>
      </c>
    </row>
    <row r="37">
      <c r="A37" s="24"/>
      <c r="B37" s="25" t="s">
        <v>74</v>
      </c>
      <c r="C37" s="52" t="s">
        <v>75</v>
      </c>
      <c r="D37" s="42"/>
      <c r="E37" s="42"/>
      <c r="F37" s="42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>
      <c r="A38" s="24"/>
      <c r="B38" s="25" t="s">
        <v>76</v>
      </c>
      <c r="C38" s="52" t="s">
        <v>77</v>
      </c>
      <c r="D38" s="42"/>
      <c r="E38" s="42"/>
      <c r="F38" s="42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</row>
    <row r="39">
      <c r="A39" s="24"/>
      <c r="B39" s="25" t="s">
        <v>78</v>
      </c>
      <c r="C39" s="52" t="s">
        <v>79</v>
      </c>
      <c r="D39" s="42"/>
      <c r="E39" s="42"/>
      <c r="F39" s="42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</row>
    <row r="40">
      <c r="A40" s="24"/>
      <c r="B40" s="25" t="s">
        <v>80</v>
      </c>
      <c r="C40" s="52" t="s">
        <v>81</v>
      </c>
      <c r="D40" s="42"/>
      <c r="E40" s="42"/>
      <c r="F40" s="42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</row>
    <row r="41">
      <c r="A41" s="31"/>
      <c r="B41" s="32" t="s">
        <v>82</v>
      </c>
      <c r="C41" s="53" t="s">
        <v>83</v>
      </c>
      <c r="D41" s="44"/>
      <c r="E41" s="45">
        <v>107.0</v>
      </c>
      <c r="F41" s="44">
        <f>E41-D36</f>
        <v>33</v>
      </c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</row>
    <row r="42">
      <c r="A42" s="17" t="s">
        <v>84</v>
      </c>
      <c r="B42" s="18" t="s">
        <v>85</v>
      </c>
      <c r="C42" s="51" t="s">
        <v>34</v>
      </c>
      <c r="D42" s="48">
        <v>40.0</v>
      </c>
      <c r="E42" s="39"/>
      <c r="F42" s="39"/>
      <c r="G42" s="41">
        <v>34.0</v>
      </c>
      <c r="H42" s="41"/>
      <c r="I42" s="41"/>
      <c r="J42" s="41">
        <f>3+4</f>
        <v>7</v>
      </c>
      <c r="K42" s="41"/>
      <c r="L42" s="41"/>
      <c r="M42" s="41"/>
      <c r="N42" s="41"/>
      <c r="O42" s="41"/>
      <c r="P42" s="41"/>
      <c r="Q42" s="41">
        <f>2+8</f>
        <v>10</v>
      </c>
      <c r="R42" s="41">
        <v>2.0</v>
      </c>
    </row>
    <row r="43">
      <c r="A43" s="24"/>
      <c r="B43" s="25" t="s">
        <v>86</v>
      </c>
      <c r="C43" s="52" t="s">
        <v>87</v>
      </c>
      <c r="D43" s="42"/>
      <c r="E43" s="42"/>
      <c r="F43" s="42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</row>
    <row r="44">
      <c r="A44" s="24"/>
      <c r="B44" s="25" t="s">
        <v>88</v>
      </c>
      <c r="C44" s="52" t="s">
        <v>89</v>
      </c>
      <c r="D44" s="42"/>
      <c r="E44" s="42"/>
      <c r="F44" s="42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</row>
    <row r="45">
      <c r="A45" s="24"/>
      <c r="B45" s="25" t="s">
        <v>90</v>
      </c>
      <c r="C45" s="52" t="s">
        <v>91</v>
      </c>
      <c r="D45" s="42"/>
      <c r="E45" s="42"/>
      <c r="F45" s="42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</row>
    <row r="46">
      <c r="A46" s="24"/>
      <c r="B46" s="25" t="s">
        <v>92</v>
      </c>
      <c r="C46" s="52" t="s">
        <v>42</v>
      </c>
      <c r="D46" s="42"/>
      <c r="E46" s="42"/>
      <c r="F46" s="42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</row>
    <row r="47">
      <c r="A47" s="24"/>
      <c r="B47" s="25" t="s">
        <v>93</v>
      </c>
      <c r="C47" s="52" t="s">
        <v>44</v>
      </c>
      <c r="D47" s="42"/>
      <c r="E47" s="42"/>
      <c r="F47" s="42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</row>
    <row r="48">
      <c r="A48" s="24"/>
      <c r="B48" s="25" t="s">
        <v>94</v>
      </c>
      <c r="C48" s="52" t="s">
        <v>46</v>
      </c>
      <c r="D48" s="42"/>
      <c r="E48" s="42"/>
      <c r="F48" s="42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</row>
    <row r="49">
      <c r="A49" s="24"/>
      <c r="B49" s="25" t="s">
        <v>95</v>
      </c>
      <c r="C49" s="52" t="s">
        <v>32</v>
      </c>
      <c r="D49" s="42"/>
      <c r="E49" s="42"/>
      <c r="F49" s="42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</row>
    <row r="50">
      <c r="A50" s="24"/>
      <c r="B50" s="25" t="s">
        <v>96</v>
      </c>
      <c r="C50" s="52" t="s">
        <v>97</v>
      </c>
      <c r="D50" s="42"/>
      <c r="E50" s="42"/>
      <c r="F50" s="42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</row>
    <row r="51">
      <c r="A51" s="24"/>
      <c r="B51" s="25" t="s">
        <v>98</v>
      </c>
      <c r="C51" s="52" t="s">
        <v>99</v>
      </c>
      <c r="D51" s="42"/>
      <c r="E51" s="42"/>
      <c r="F51" s="42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</row>
    <row r="52">
      <c r="A52" s="24"/>
      <c r="B52" s="25" t="s">
        <v>100</v>
      </c>
      <c r="C52" s="52" t="s">
        <v>101</v>
      </c>
      <c r="D52" s="42"/>
      <c r="E52" s="42"/>
      <c r="F52" s="42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</row>
    <row r="53">
      <c r="A53" s="24"/>
      <c r="B53" s="25" t="s">
        <v>102</v>
      </c>
      <c r="C53" s="52" t="s">
        <v>103</v>
      </c>
      <c r="D53" s="42"/>
      <c r="E53" s="42"/>
      <c r="F53" s="42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</row>
    <row r="54">
      <c r="A54" s="24"/>
      <c r="B54" s="25">
        <v>0.2152777777777778</v>
      </c>
      <c r="C54" s="52" t="s">
        <v>42</v>
      </c>
      <c r="D54" s="42"/>
      <c r="E54" s="42"/>
      <c r="F54" s="42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</row>
    <row r="55">
      <c r="A55" s="24"/>
      <c r="B55" s="25" t="s">
        <v>104</v>
      </c>
      <c r="C55" s="52" t="s">
        <v>67</v>
      </c>
      <c r="D55" s="42"/>
      <c r="E55" s="42"/>
      <c r="F55" s="42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</row>
    <row r="56">
      <c r="A56" s="24"/>
      <c r="B56" s="25" t="s">
        <v>105</v>
      </c>
      <c r="C56" s="52" t="s">
        <v>69</v>
      </c>
      <c r="D56" s="42"/>
      <c r="E56" s="42"/>
      <c r="F56" s="42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</row>
    <row r="57">
      <c r="A57" s="24"/>
      <c r="B57" s="25" t="s">
        <v>106</v>
      </c>
      <c r="C57" s="52" t="s">
        <v>107</v>
      </c>
      <c r="D57" s="42"/>
      <c r="E57" s="42"/>
      <c r="F57" s="42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</row>
    <row r="58">
      <c r="A58" s="31"/>
      <c r="B58" s="32" t="s">
        <v>108</v>
      </c>
      <c r="C58" s="53" t="s">
        <v>109</v>
      </c>
      <c r="D58" s="44"/>
      <c r="E58" s="44"/>
      <c r="F58" s="44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</row>
    <row r="59">
      <c r="A59" s="26"/>
      <c r="B59" s="25">
        <v>0.21875</v>
      </c>
      <c r="C59" s="52" t="s">
        <v>110</v>
      </c>
      <c r="D59" s="42"/>
      <c r="E59" s="49">
        <v>74.0</v>
      </c>
      <c r="F59" s="42">
        <f>E59-D42</f>
        <v>34</v>
      </c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</row>
    <row r="60">
      <c r="A60" s="17"/>
      <c r="B60" s="18"/>
      <c r="C60" s="51"/>
      <c r="D60" s="39"/>
      <c r="E60" s="39"/>
      <c r="F60" s="39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</row>
    <row r="61">
      <c r="A61" s="24"/>
      <c r="B61" s="25"/>
      <c r="C61" s="52"/>
      <c r="D61" s="42"/>
      <c r="E61" s="42"/>
      <c r="F61" s="42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</row>
    <row r="62">
      <c r="A62" s="24"/>
      <c r="B62" s="25"/>
      <c r="C62" s="52"/>
      <c r="D62" s="42"/>
      <c r="E62" s="42"/>
      <c r="F62" s="42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</row>
    <row r="63">
      <c r="A63" s="24"/>
      <c r="B63" s="25"/>
      <c r="C63" s="52"/>
      <c r="D63" s="42"/>
      <c r="E63" s="42"/>
      <c r="F63" s="42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</row>
    <row r="64">
      <c r="A64" s="24"/>
      <c r="B64" s="25"/>
      <c r="C64" s="52"/>
      <c r="D64" s="42"/>
      <c r="E64" s="42"/>
      <c r="F64" s="42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</row>
    <row r="65">
      <c r="A65" s="24"/>
      <c r="B65" s="25"/>
      <c r="C65" s="52"/>
      <c r="D65" s="42"/>
      <c r="E65" s="42"/>
      <c r="F65" s="42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</row>
    <row r="66">
      <c r="A66" s="31"/>
      <c r="B66" s="32"/>
      <c r="C66" s="53"/>
      <c r="D66" s="44"/>
      <c r="E66" s="44"/>
      <c r="F66" s="44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</row>
    <row r="67">
      <c r="A67" s="17"/>
      <c r="B67" s="18"/>
      <c r="C67" s="51"/>
      <c r="D67" s="39"/>
      <c r="E67" s="39"/>
      <c r="F67" s="39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</row>
    <row r="68">
      <c r="A68" s="24"/>
      <c r="B68" s="25"/>
      <c r="C68" s="52"/>
      <c r="D68" s="42"/>
      <c r="E68" s="42"/>
      <c r="F68" s="42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</row>
    <row r="69">
      <c r="A69" s="24"/>
      <c r="B69" s="25"/>
      <c r="C69" s="52"/>
      <c r="D69" s="42"/>
      <c r="E69" s="42"/>
      <c r="F69" s="42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</row>
    <row r="70">
      <c r="A70" s="31"/>
      <c r="B70" s="32"/>
      <c r="C70" s="53"/>
      <c r="D70" s="44"/>
      <c r="E70" s="44"/>
      <c r="F70" s="44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</row>
    <row r="71">
      <c r="A71" s="17"/>
      <c r="B71" s="18"/>
      <c r="C71" s="51"/>
      <c r="D71" s="39"/>
      <c r="E71" s="39"/>
      <c r="F71" s="39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</row>
    <row r="72">
      <c r="A72" s="24"/>
      <c r="B72" s="25"/>
      <c r="C72" s="52"/>
      <c r="D72" s="42"/>
      <c r="E72" s="42"/>
      <c r="F72" s="42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</row>
    <row r="73">
      <c r="A73" s="31"/>
      <c r="B73" s="32"/>
      <c r="C73" s="53"/>
      <c r="D73" s="44"/>
      <c r="E73" s="44"/>
      <c r="F73" s="44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</row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05">
    <mergeCell ref="J4:J7"/>
    <mergeCell ref="K4:K7"/>
    <mergeCell ref="L4:L7"/>
    <mergeCell ref="M4:M7"/>
    <mergeCell ref="Q4:Q7"/>
    <mergeCell ref="R4:R7"/>
    <mergeCell ref="R8:R10"/>
    <mergeCell ref="G4:G7"/>
    <mergeCell ref="G8:G10"/>
    <mergeCell ref="H8:H10"/>
    <mergeCell ref="I8:I10"/>
    <mergeCell ref="J8:J10"/>
    <mergeCell ref="K8:K10"/>
    <mergeCell ref="L8:L10"/>
    <mergeCell ref="M8:M10"/>
    <mergeCell ref="N4:N7"/>
    <mergeCell ref="O4:O7"/>
    <mergeCell ref="D1:F1"/>
    <mergeCell ref="G1:Q1"/>
    <mergeCell ref="D2:F2"/>
    <mergeCell ref="A4:A7"/>
    <mergeCell ref="H4:H7"/>
    <mergeCell ref="I4:I7"/>
    <mergeCell ref="A8:A10"/>
    <mergeCell ref="Q8:Q10"/>
    <mergeCell ref="K11:K35"/>
    <mergeCell ref="L11:L35"/>
    <mergeCell ref="O11:O35"/>
    <mergeCell ref="P11:P35"/>
    <mergeCell ref="Q11:Q35"/>
    <mergeCell ref="R11:R35"/>
    <mergeCell ref="P36:P41"/>
    <mergeCell ref="Q36:Q41"/>
    <mergeCell ref="R36:R41"/>
    <mergeCell ref="G11:G35"/>
    <mergeCell ref="G36:G41"/>
    <mergeCell ref="H36:H41"/>
    <mergeCell ref="I36:I41"/>
    <mergeCell ref="J36:J41"/>
    <mergeCell ref="K36:K41"/>
    <mergeCell ref="H11:H35"/>
    <mergeCell ref="G42:G58"/>
    <mergeCell ref="H42:H58"/>
    <mergeCell ref="N8:N10"/>
    <mergeCell ref="O8:O10"/>
    <mergeCell ref="A11:A35"/>
    <mergeCell ref="I11:I35"/>
    <mergeCell ref="J11:J35"/>
    <mergeCell ref="A36:A41"/>
    <mergeCell ref="O42:O58"/>
    <mergeCell ref="H67:H70"/>
    <mergeCell ref="I67:I70"/>
    <mergeCell ref="I42:I58"/>
    <mergeCell ref="J42:J58"/>
    <mergeCell ref="G60:G66"/>
    <mergeCell ref="H60:H66"/>
    <mergeCell ref="I60:I66"/>
    <mergeCell ref="J60:J66"/>
    <mergeCell ref="G67:G70"/>
    <mergeCell ref="J67:J70"/>
    <mergeCell ref="L67:L70"/>
    <mergeCell ref="M67:M70"/>
    <mergeCell ref="N67:N70"/>
    <mergeCell ref="O67:O70"/>
    <mergeCell ref="P67:P70"/>
    <mergeCell ref="Q67:Q70"/>
    <mergeCell ref="R67:R70"/>
    <mergeCell ref="M71:M73"/>
    <mergeCell ref="N71:N73"/>
    <mergeCell ref="O71:O73"/>
    <mergeCell ref="P71:P73"/>
    <mergeCell ref="Q71:Q73"/>
    <mergeCell ref="R71:R73"/>
    <mergeCell ref="K67:K70"/>
    <mergeCell ref="G71:G73"/>
    <mergeCell ref="H71:H73"/>
    <mergeCell ref="I71:I73"/>
    <mergeCell ref="J71:J73"/>
    <mergeCell ref="K71:K73"/>
    <mergeCell ref="L71:L73"/>
    <mergeCell ref="M11:M35"/>
    <mergeCell ref="N11:N35"/>
    <mergeCell ref="L36:L41"/>
    <mergeCell ref="M36:M41"/>
    <mergeCell ref="N36:N41"/>
    <mergeCell ref="O36:O41"/>
    <mergeCell ref="M42:M58"/>
    <mergeCell ref="N42:N58"/>
    <mergeCell ref="P42:P58"/>
    <mergeCell ref="Q42:Q58"/>
    <mergeCell ref="R42:R58"/>
    <mergeCell ref="A42:A58"/>
    <mergeCell ref="A60:A66"/>
    <mergeCell ref="A67:A70"/>
    <mergeCell ref="A71:A73"/>
    <mergeCell ref="P60:P66"/>
    <mergeCell ref="Q60:Q66"/>
    <mergeCell ref="R60:R66"/>
    <mergeCell ref="K42:K58"/>
    <mergeCell ref="L42:L58"/>
    <mergeCell ref="K60:K66"/>
    <mergeCell ref="L60:L66"/>
    <mergeCell ref="M60:M66"/>
    <mergeCell ref="N60:N66"/>
    <mergeCell ref="O60:O6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22.38"/>
    <col customWidth="1" min="4" max="4" width="9.88"/>
    <col customWidth="1" min="5" max="5" width="8.5"/>
    <col customWidth="1" min="6" max="15" width="12.75"/>
    <col customWidth="1" min="16" max="16" width="7.88"/>
    <col customWidth="1" min="17" max="17" width="12.75"/>
    <col customWidth="1" min="18" max="18" width="7.88"/>
    <col customWidth="1" min="19" max="26" width="7.63"/>
  </cols>
  <sheetData>
    <row r="1" ht="39.75" customHeight="1">
      <c r="A1" s="1"/>
      <c r="C1" s="1"/>
      <c r="D1" s="55" t="s">
        <v>112</v>
      </c>
      <c r="E1" s="9"/>
      <c r="F1" s="10"/>
      <c r="L1" s="11"/>
    </row>
    <row r="2">
      <c r="A2" s="56" t="s">
        <v>3</v>
      </c>
      <c r="B2" s="57"/>
      <c r="C2" s="56" t="s">
        <v>4</v>
      </c>
      <c r="D2" s="14" t="s">
        <v>5</v>
      </c>
      <c r="E2" s="14" t="s">
        <v>6</v>
      </c>
      <c r="F2" s="14" t="s">
        <v>7</v>
      </c>
      <c r="G2" s="15" t="s">
        <v>8</v>
      </c>
      <c r="H2" s="15" t="s">
        <v>8</v>
      </c>
      <c r="I2" s="15" t="s">
        <v>8</v>
      </c>
      <c r="J2" s="15" t="s">
        <v>8</v>
      </c>
      <c r="K2" s="15" t="s">
        <v>8</v>
      </c>
      <c r="L2" s="15" t="s">
        <v>8</v>
      </c>
      <c r="M2" s="15" t="s">
        <v>8</v>
      </c>
      <c r="N2" s="15" t="s">
        <v>8</v>
      </c>
      <c r="O2" s="15" t="s">
        <v>8</v>
      </c>
      <c r="P2" s="16" t="s">
        <v>9</v>
      </c>
      <c r="Q2" s="15" t="s">
        <v>8</v>
      </c>
      <c r="R2" s="16" t="s">
        <v>9</v>
      </c>
    </row>
    <row r="3">
      <c r="A3" s="58" t="s">
        <v>10</v>
      </c>
      <c r="B3" s="59" t="s">
        <v>11</v>
      </c>
      <c r="C3" s="51" t="s">
        <v>12</v>
      </c>
      <c r="D3" s="20"/>
      <c r="E3" s="20"/>
      <c r="F3" s="20"/>
      <c r="G3" s="22"/>
      <c r="H3" s="22"/>
      <c r="I3" s="22"/>
      <c r="J3" s="22"/>
      <c r="K3" s="22"/>
      <c r="L3" s="22"/>
      <c r="M3" s="22"/>
      <c r="N3" s="22"/>
      <c r="O3" s="22"/>
      <c r="P3" s="23"/>
      <c r="Q3" s="22"/>
      <c r="R3" s="22"/>
    </row>
    <row r="4">
      <c r="A4" s="24"/>
      <c r="B4" s="60" t="s">
        <v>13</v>
      </c>
      <c r="C4" s="52" t="s">
        <v>14</v>
      </c>
      <c r="D4" s="27"/>
      <c r="E4" s="27"/>
      <c r="F4" s="27"/>
      <c r="G4" s="29"/>
      <c r="H4" s="29"/>
      <c r="I4" s="29"/>
      <c r="J4" s="29"/>
      <c r="K4" s="29"/>
      <c r="L4" s="29"/>
      <c r="M4" s="29"/>
      <c r="N4" s="29"/>
      <c r="O4" s="29"/>
      <c r="P4" s="30"/>
      <c r="Q4" s="29"/>
      <c r="R4" s="29"/>
    </row>
    <row r="5">
      <c r="A5" s="24"/>
      <c r="B5" s="60" t="s">
        <v>15</v>
      </c>
      <c r="C5" s="52" t="s">
        <v>16</v>
      </c>
      <c r="D5" s="27"/>
      <c r="E5" s="27"/>
      <c r="F5" s="27"/>
      <c r="G5" s="29"/>
      <c r="H5" s="29"/>
      <c r="I5" s="29"/>
      <c r="J5" s="29"/>
      <c r="K5" s="29"/>
      <c r="L5" s="29"/>
      <c r="M5" s="29"/>
      <c r="N5" s="29"/>
      <c r="O5" s="29"/>
      <c r="P5" s="30"/>
      <c r="Q5" s="29"/>
      <c r="R5" s="29"/>
    </row>
    <row r="6">
      <c r="A6" s="31"/>
      <c r="B6" s="61" t="s">
        <v>17</v>
      </c>
      <c r="C6" s="53" t="s">
        <v>18</v>
      </c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7"/>
      <c r="Q6" s="36"/>
      <c r="R6" s="36"/>
    </row>
    <row r="7">
      <c r="A7" s="58" t="s">
        <v>19</v>
      </c>
      <c r="B7" s="59" t="s">
        <v>20</v>
      </c>
      <c r="C7" s="51" t="s">
        <v>21</v>
      </c>
      <c r="D7" s="20"/>
      <c r="E7" s="20"/>
      <c r="F7" s="20"/>
      <c r="G7" s="22"/>
      <c r="H7" s="22"/>
      <c r="I7" s="22"/>
      <c r="J7" s="22"/>
      <c r="K7" s="22"/>
      <c r="L7" s="22"/>
      <c r="M7" s="22"/>
      <c r="N7" s="22"/>
      <c r="O7" s="22"/>
      <c r="P7" s="23"/>
      <c r="Q7" s="22"/>
      <c r="R7" s="22"/>
    </row>
    <row r="8">
      <c r="A8" s="24"/>
      <c r="B8" s="60" t="s">
        <v>22</v>
      </c>
      <c r="C8" s="52" t="s">
        <v>23</v>
      </c>
      <c r="D8" s="27"/>
      <c r="E8" s="27"/>
      <c r="F8" s="27"/>
      <c r="G8" s="29"/>
      <c r="H8" s="29"/>
      <c r="I8" s="29"/>
      <c r="J8" s="29"/>
      <c r="K8" s="29"/>
      <c r="L8" s="29"/>
      <c r="M8" s="29"/>
      <c r="N8" s="29"/>
      <c r="O8" s="29"/>
      <c r="P8" s="30"/>
      <c r="Q8" s="29"/>
      <c r="R8" s="29"/>
    </row>
    <row r="9">
      <c r="A9" s="31"/>
      <c r="B9" s="61" t="s">
        <v>24</v>
      </c>
      <c r="C9" s="53" t="s">
        <v>25</v>
      </c>
      <c r="D9" s="34"/>
      <c r="E9" s="34"/>
      <c r="F9" s="34"/>
      <c r="G9" s="36"/>
      <c r="H9" s="36"/>
      <c r="I9" s="36"/>
      <c r="J9" s="36"/>
      <c r="K9" s="36"/>
      <c r="L9" s="36"/>
      <c r="M9" s="36"/>
      <c r="N9" s="36"/>
      <c r="O9" s="36"/>
      <c r="P9" s="37"/>
      <c r="Q9" s="36"/>
      <c r="R9" s="36"/>
    </row>
    <row r="10">
      <c r="A10" s="58" t="s">
        <v>26</v>
      </c>
      <c r="B10" s="59" t="s">
        <v>27</v>
      </c>
      <c r="C10" s="51" t="s">
        <v>28</v>
      </c>
      <c r="D10" s="38">
        <v>0.0</v>
      </c>
      <c r="E10" s="39"/>
      <c r="F10" s="39"/>
      <c r="G10" s="41">
        <v>37.0</v>
      </c>
      <c r="H10" s="41"/>
      <c r="I10" s="41"/>
      <c r="J10" s="41">
        <f>3+2</f>
        <v>5</v>
      </c>
      <c r="K10" s="41">
        <f>1</f>
        <v>1</v>
      </c>
      <c r="L10" s="41"/>
      <c r="M10" s="41"/>
      <c r="N10" s="41"/>
      <c r="O10" s="41">
        <f>5+3</f>
        <v>8</v>
      </c>
      <c r="P10" s="41">
        <f>2</f>
        <v>2</v>
      </c>
      <c r="Q10" s="41">
        <f>5+3</f>
        <v>8</v>
      </c>
      <c r="R10" s="41">
        <v>1.0</v>
      </c>
    </row>
    <row r="11">
      <c r="A11" s="24"/>
      <c r="B11" s="60" t="s">
        <v>29</v>
      </c>
      <c r="C11" s="52" t="s">
        <v>30</v>
      </c>
      <c r="D11" s="42"/>
      <c r="E11" s="42"/>
      <c r="F11" s="42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</row>
    <row r="12">
      <c r="A12" s="24"/>
      <c r="B12" s="60" t="s">
        <v>31</v>
      </c>
      <c r="C12" s="52" t="s">
        <v>32</v>
      </c>
      <c r="D12" s="42"/>
      <c r="E12" s="42"/>
      <c r="F12" s="42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</row>
    <row r="13">
      <c r="A13" s="24"/>
      <c r="B13" s="60" t="s">
        <v>33</v>
      </c>
      <c r="C13" s="52" t="s">
        <v>34</v>
      </c>
      <c r="D13" s="42"/>
      <c r="E13" s="42"/>
      <c r="F13" s="42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</row>
    <row r="14">
      <c r="A14" s="24"/>
      <c r="B14" s="60" t="s">
        <v>35</v>
      </c>
      <c r="C14" s="52" t="s">
        <v>36</v>
      </c>
      <c r="D14" s="42"/>
      <c r="E14" s="42"/>
      <c r="F14" s="42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</row>
    <row r="15">
      <c r="A15" s="24"/>
      <c r="B15" s="60" t="s">
        <v>37</v>
      </c>
      <c r="C15" s="52" t="s">
        <v>38</v>
      </c>
      <c r="D15" s="42"/>
      <c r="E15" s="42"/>
      <c r="F15" s="42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</row>
    <row r="16">
      <c r="A16" s="24"/>
      <c r="B16" s="60" t="s">
        <v>39</v>
      </c>
      <c r="C16" s="52" t="s">
        <v>40</v>
      </c>
      <c r="D16" s="42"/>
      <c r="E16" s="42"/>
      <c r="F16" s="42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>
      <c r="A17" s="24"/>
      <c r="B17" s="60" t="s">
        <v>41</v>
      </c>
      <c r="C17" s="52" t="s">
        <v>42</v>
      </c>
      <c r="D17" s="42"/>
      <c r="E17" s="42"/>
      <c r="F17" s="42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</row>
    <row r="18">
      <c r="A18" s="24"/>
      <c r="B18" s="60" t="s">
        <v>43</v>
      </c>
      <c r="C18" s="52" t="s">
        <v>44</v>
      </c>
      <c r="D18" s="42"/>
      <c r="E18" s="42"/>
      <c r="F18" s="42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</row>
    <row r="19">
      <c r="A19" s="24"/>
      <c r="B19" s="60" t="s">
        <v>45</v>
      </c>
      <c r="C19" s="52" t="s">
        <v>46</v>
      </c>
      <c r="D19" s="42"/>
      <c r="E19" s="42"/>
      <c r="F19" s="42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</row>
    <row r="20">
      <c r="A20" s="24"/>
      <c r="B20" s="60" t="s">
        <v>47</v>
      </c>
      <c r="C20" s="52" t="s">
        <v>32</v>
      </c>
      <c r="D20" s="42"/>
      <c r="E20" s="42"/>
      <c r="F20" s="42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>
      <c r="A21" s="24"/>
      <c r="B21" s="60" t="s">
        <v>48</v>
      </c>
      <c r="C21" s="52" t="s">
        <v>49</v>
      </c>
      <c r="D21" s="42"/>
      <c r="E21" s="42"/>
      <c r="F21" s="42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</row>
    <row r="22">
      <c r="A22" s="24"/>
      <c r="B22" s="60" t="s">
        <v>50</v>
      </c>
      <c r="C22" s="52" t="s">
        <v>51</v>
      </c>
      <c r="D22" s="42"/>
      <c r="E22" s="42"/>
      <c r="F22" s="42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</row>
    <row r="23">
      <c r="A23" s="24"/>
      <c r="B23" s="60" t="s">
        <v>52</v>
      </c>
      <c r="C23" s="52" t="s">
        <v>53</v>
      </c>
      <c r="D23" s="42"/>
      <c r="E23" s="42"/>
      <c r="F23" s="42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</row>
    <row r="24">
      <c r="A24" s="24"/>
      <c r="B24" s="60" t="s">
        <v>54</v>
      </c>
      <c r="C24" s="52" t="s">
        <v>55</v>
      </c>
      <c r="D24" s="42"/>
      <c r="E24" s="42"/>
      <c r="F24" s="42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</row>
    <row r="25">
      <c r="A25" s="24"/>
      <c r="B25" s="60" t="s">
        <v>56</v>
      </c>
      <c r="C25" s="52" t="s">
        <v>57</v>
      </c>
      <c r="D25" s="42"/>
      <c r="E25" s="42"/>
      <c r="F25" s="42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</row>
    <row r="26">
      <c r="A26" s="24"/>
      <c r="B26" s="60" t="s">
        <v>58</v>
      </c>
      <c r="C26" s="52" t="s">
        <v>59</v>
      </c>
      <c r="D26" s="42"/>
      <c r="E26" s="42"/>
      <c r="F26" s="42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</row>
    <row r="27">
      <c r="A27" s="24"/>
      <c r="B27" s="60" t="s">
        <v>60</v>
      </c>
      <c r="C27" s="52" t="s">
        <v>61</v>
      </c>
      <c r="D27" s="42"/>
      <c r="E27" s="42"/>
      <c r="F27" s="42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</row>
    <row r="28">
      <c r="A28" s="24"/>
      <c r="B28" s="60" t="s">
        <v>62</v>
      </c>
      <c r="C28" s="52" t="s">
        <v>53</v>
      </c>
      <c r="D28" s="42"/>
      <c r="E28" s="42"/>
      <c r="F28" s="42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</row>
    <row r="29">
      <c r="A29" s="24"/>
      <c r="B29" s="60" t="s">
        <v>63</v>
      </c>
      <c r="C29" s="52" t="s">
        <v>55</v>
      </c>
      <c r="D29" s="42"/>
      <c r="E29" s="42"/>
      <c r="F29" s="42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>
      <c r="A30" s="24"/>
      <c r="B30" s="60" t="s">
        <v>64</v>
      </c>
      <c r="C30" s="52" t="s">
        <v>57</v>
      </c>
      <c r="D30" s="42"/>
      <c r="E30" s="42"/>
      <c r="F30" s="42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</row>
    <row r="31">
      <c r="A31" s="24"/>
      <c r="B31" s="60" t="s">
        <v>65</v>
      </c>
      <c r="C31" s="52" t="s">
        <v>42</v>
      </c>
      <c r="D31" s="42"/>
      <c r="E31" s="42"/>
      <c r="F31" s="42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</row>
    <row r="32">
      <c r="A32" s="24"/>
      <c r="B32" s="60" t="s">
        <v>66</v>
      </c>
      <c r="C32" s="52" t="s">
        <v>67</v>
      </c>
      <c r="D32" s="42"/>
      <c r="E32" s="42"/>
      <c r="F32" s="42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</row>
    <row r="33">
      <c r="A33" s="24"/>
      <c r="B33" s="60" t="s">
        <v>68</v>
      </c>
      <c r="C33" s="52" t="s">
        <v>69</v>
      </c>
      <c r="D33" s="42"/>
      <c r="E33" s="42"/>
      <c r="F33" s="42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>
      <c r="A34" s="31"/>
      <c r="B34" s="61" t="s">
        <v>70</v>
      </c>
      <c r="C34" s="53" t="s">
        <v>32</v>
      </c>
      <c r="D34" s="44"/>
      <c r="E34" s="45">
        <v>37.0</v>
      </c>
      <c r="F34" s="54">
        <f>E34-D10</f>
        <v>37</v>
      </c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</row>
    <row r="35">
      <c r="A35" s="58"/>
      <c r="B35" s="59"/>
      <c r="C35" s="51"/>
      <c r="D35" s="39"/>
      <c r="E35" s="39"/>
      <c r="F35" s="39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</row>
    <row r="36">
      <c r="A36" s="24"/>
      <c r="B36" s="60"/>
      <c r="C36" s="52"/>
      <c r="D36" s="42"/>
      <c r="E36" s="42"/>
      <c r="F36" s="42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</row>
    <row r="37">
      <c r="A37" s="24"/>
      <c r="B37" s="60"/>
      <c r="C37" s="52"/>
      <c r="D37" s="42"/>
      <c r="E37" s="42"/>
      <c r="F37" s="42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>
      <c r="A38" s="24"/>
      <c r="B38" s="60"/>
      <c r="C38" s="52"/>
      <c r="D38" s="42"/>
      <c r="E38" s="42"/>
      <c r="F38" s="42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</row>
    <row r="39">
      <c r="A39" s="24"/>
      <c r="B39" s="60"/>
      <c r="C39" s="52"/>
      <c r="D39" s="42"/>
      <c r="E39" s="42"/>
      <c r="F39" s="42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</row>
    <row r="40">
      <c r="A40" s="31"/>
      <c r="B40" s="61"/>
      <c r="C40" s="53"/>
      <c r="D40" s="44"/>
      <c r="E40" s="44"/>
      <c r="F40" s="44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</row>
    <row r="41">
      <c r="A41" s="58" t="s">
        <v>84</v>
      </c>
      <c r="B41" s="59" t="s">
        <v>85</v>
      </c>
      <c r="C41" s="51" t="s">
        <v>34</v>
      </c>
      <c r="D41" s="48">
        <v>37.0</v>
      </c>
      <c r="E41" s="39"/>
      <c r="F41" s="39"/>
      <c r="G41" s="41">
        <v>34.0</v>
      </c>
      <c r="H41" s="41">
        <f>2</f>
        <v>2</v>
      </c>
      <c r="I41" s="41"/>
      <c r="J41" s="41">
        <f>5</f>
        <v>5</v>
      </c>
      <c r="K41" s="41"/>
      <c r="L41" s="41"/>
      <c r="M41" s="41"/>
      <c r="N41" s="41"/>
      <c r="O41" s="41">
        <f>2+10</f>
        <v>12</v>
      </c>
      <c r="P41" s="41">
        <v>2.0</v>
      </c>
      <c r="Q41" s="41">
        <f>4</f>
        <v>4</v>
      </c>
      <c r="R41" s="41">
        <v>1.0</v>
      </c>
    </row>
    <row r="42">
      <c r="A42" s="24"/>
      <c r="B42" s="60" t="s">
        <v>86</v>
      </c>
      <c r="C42" s="52" t="s">
        <v>87</v>
      </c>
      <c r="D42" s="42"/>
      <c r="E42" s="42"/>
      <c r="F42" s="42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</row>
    <row r="43">
      <c r="A43" s="24"/>
      <c r="B43" s="60" t="s">
        <v>88</v>
      </c>
      <c r="C43" s="52" t="s">
        <v>89</v>
      </c>
      <c r="D43" s="42"/>
      <c r="E43" s="42"/>
      <c r="F43" s="42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</row>
    <row r="44">
      <c r="A44" s="24"/>
      <c r="B44" s="60" t="s">
        <v>90</v>
      </c>
      <c r="C44" s="52" t="s">
        <v>91</v>
      </c>
      <c r="D44" s="42"/>
      <c r="E44" s="42"/>
      <c r="F44" s="42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</row>
    <row r="45">
      <c r="A45" s="24"/>
      <c r="B45" s="60" t="s">
        <v>92</v>
      </c>
      <c r="C45" s="52" t="s">
        <v>42</v>
      </c>
      <c r="D45" s="42"/>
      <c r="E45" s="42"/>
      <c r="F45" s="42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</row>
    <row r="46">
      <c r="A46" s="24"/>
      <c r="B46" s="60" t="s">
        <v>93</v>
      </c>
      <c r="C46" s="52" t="s">
        <v>44</v>
      </c>
      <c r="D46" s="42"/>
      <c r="E46" s="42"/>
      <c r="F46" s="42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</row>
    <row r="47">
      <c r="A47" s="24"/>
      <c r="B47" s="60" t="s">
        <v>94</v>
      </c>
      <c r="C47" s="52" t="s">
        <v>46</v>
      </c>
      <c r="D47" s="42"/>
      <c r="E47" s="42"/>
      <c r="F47" s="42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</row>
    <row r="48">
      <c r="A48" s="24"/>
      <c r="B48" s="60" t="s">
        <v>95</v>
      </c>
      <c r="C48" s="52" t="s">
        <v>32</v>
      </c>
      <c r="D48" s="42"/>
      <c r="E48" s="42"/>
      <c r="F48" s="42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</row>
    <row r="49">
      <c r="A49" s="24"/>
      <c r="B49" s="60" t="s">
        <v>96</v>
      </c>
      <c r="C49" s="52" t="s">
        <v>97</v>
      </c>
      <c r="D49" s="42"/>
      <c r="E49" s="42"/>
      <c r="F49" s="42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</row>
    <row r="50">
      <c r="A50" s="24"/>
      <c r="B50" s="60" t="s">
        <v>98</v>
      </c>
      <c r="C50" s="52" t="s">
        <v>99</v>
      </c>
      <c r="D50" s="42"/>
      <c r="E50" s="42"/>
      <c r="F50" s="42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</row>
    <row r="51">
      <c r="A51" s="24"/>
      <c r="B51" s="60" t="s">
        <v>100</v>
      </c>
      <c r="C51" s="52" t="s">
        <v>101</v>
      </c>
      <c r="D51" s="42"/>
      <c r="E51" s="42"/>
      <c r="F51" s="42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</row>
    <row r="52">
      <c r="A52" s="24"/>
      <c r="B52" s="60" t="s">
        <v>102</v>
      </c>
      <c r="C52" s="52" t="s">
        <v>103</v>
      </c>
      <c r="D52" s="42"/>
      <c r="E52" s="42"/>
      <c r="F52" s="42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</row>
    <row r="53">
      <c r="A53" s="24"/>
      <c r="B53" s="60">
        <v>0.2152777777777778</v>
      </c>
      <c r="C53" s="52" t="s">
        <v>42</v>
      </c>
      <c r="D53" s="42"/>
      <c r="E53" s="42"/>
      <c r="F53" s="42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</row>
    <row r="54">
      <c r="A54" s="24"/>
      <c r="B54" s="60" t="s">
        <v>104</v>
      </c>
      <c r="C54" s="52" t="s">
        <v>67</v>
      </c>
      <c r="D54" s="42"/>
      <c r="E54" s="42"/>
      <c r="F54" s="42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</row>
    <row r="55">
      <c r="A55" s="24"/>
      <c r="B55" s="60" t="s">
        <v>105</v>
      </c>
      <c r="C55" s="52" t="s">
        <v>69</v>
      </c>
      <c r="D55" s="42"/>
      <c r="E55" s="42"/>
      <c r="F55" s="42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</row>
    <row r="56">
      <c r="A56" s="24"/>
      <c r="B56" s="60" t="s">
        <v>106</v>
      </c>
      <c r="C56" s="52" t="s">
        <v>107</v>
      </c>
      <c r="D56" s="42"/>
      <c r="E56" s="42"/>
      <c r="F56" s="42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</row>
    <row r="57">
      <c r="A57" s="31"/>
      <c r="B57" s="61" t="s">
        <v>108</v>
      </c>
      <c r="C57" s="53" t="s">
        <v>109</v>
      </c>
      <c r="D57" s="44"/>
      <c r="E57" s="44"/>
      <c r="F57" s="44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</row>
    <row r="58">
      <c r="A58" s="52"/>
      <c r="B58" s="60">
        <v>0.21875</v>
      </c>
      <c r="C58" s="52" t="s">
        <v>110</v>
      </c>
      <c r="D58" s="42"/>
      <c r="E58" s="49">
        <v>71.0</v>
      </c>
      <c r="F58" s="42">
        <f>E58-D41</f>
        <v>34</v>
      </c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</row>
    <row r="59">
      <c r="A59" s="58"/>
      <c r="B59" s="59"/>
      <c r="C59" s="51"/>
      <c r="D59" s="39"/>
      <c r="E59" s="39"/>
      <c r="F59" s="39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</row>
    <row r="60">
      <c r="A60" s="24"/>
      <c r="B60" s="60"/>
      <c r="C60" s="52"/>
      <c r="D60" s="42"/>
      <c r="E60" s="42"/>
      <c r="F60" s="42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</row>
    <row r="61">
      <c r="A61" s="24"/>
      <c r="B61" s="60"/>
      <c r="C61" s="52"/>
      <c r="D61" s="42"/>
      <c r="E61" s="42"/>
      <c r="F61" s="42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</row>
    <row r="62">
      <c r="A62" s="24"/>
      <c r="B62" s="60"/>
      <c r="C62" s="52"/>
      <c r="D62" s="42"/>
      <c r="E62" s="42"/>
      <c r="F62" s="42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</row>
    <row r="63">
      <c r="A63" s="24"/>
      <c r="B63" s="60"/>
      <c r="C63" s="52"/>
      <c r="D63" s="42"/>
      <c r="E63" s="42"/>
      <c r="F63" s="42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</row>
    <row r="64">
      <c r="A64" s="24"/>
      <c r="B64" s="60"/>
      <c r="C64" s="52"/>
      <c r="D64" s="42"/>
      <c r="E64" s="42"/>
      <c r="F64" s="42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</row>
    <row r="65">
      <c r="A65" s="31"/>
      <c r="B65" s="61"/>
      <c r="C65" s="53"/>
      <c r="D65" s="44"/>
      <c r="E65" s="44"/>
      <c r="F65" s="44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</row>
    <row r="66">
      <c r="A66" s="58"/>
      <c r="B66" s="59"/>
      <c r="C66" s="51"/>
      <c r="D66" s="39"/>
      <c r="E66" s="39"/>
      <c r="F66" s="39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</row>
    <row r="67">
      <c r="A67" s="24"/>
      <c r="B67" s="60"/>
      <c r="C67" s="52"/>
      <c r="D67" s="42"/>
      <c r="E67" s="42"/>
      <c r="F67" s="42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</row>
    <row r="68">
      <c r="A68" s="24"/>
      <c r="B68" s="60"/>
      <c r="C68" s="52"/>
      <c r="D68" s="42"/>
      <c r="E68" s="42"/>
      <c r="F68" s="42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</row>
    <row r="69">
      <c r="A69" s="31"/>
      <c r="B69" s="61"/>
      <c r="C69" s="53"/>
      <c r="D69" s="44"/>
      <c r="E69" s="44"/>
      <c r="F69" s="44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</row>
    <row r="70">
      <c r="A70" s="58"/>
      <c r="B70" s="59"/>
      <c r="C70" s="53"/>
      <c r="D70" s="39"/>
      <c r="E70" s="39"/>
      <c r="F70" s="39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</row>
    <row r="71">
      <c r="A71" s="24"/>
      <c r="B71" s="60"/>
      <c r="C71" s="53"/>
      <c r="D71" s="42"/>
      <c r="E71" s="42"/>
      <c r="F71" s="42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</row>
    <row r="72">
      <c r="A72" s="31"/>
      <c r="B72" s="61"/>
      <c r="C72" s="53"/>
      <c r="D72" s="44"/>
      <c r="E72" s="44"/>
      <c r="F72" s="44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</row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03">
    <mergeCell ref="P35:P40"/>
    <mergeCell ref="Q35:Q40"/>
    <mergeCell ref="H35:H40"/>
    <mergeCell ref="I35:I40"/>
    <mergeCell ref="K35:K40"/>
    <mergeCell ref="L35:L40"/>
    <mergeCell ref="M35:M40"/>
    <mergeCell ref="N35:N40"/>
    <mergeCell ref="O35:O40"/>
    <mergeCell ref="D1:F1"/>
    <mergeCell ref="A3:A6"/>
    <mergeCell ref="H3:H6"/>
    <mergeCell ref="I3:I6"/>
    <mergeCell ref="J3:J6"/>
    <mergeCell ref="K3:K6"/>
    <mergeCell ref="A7:A9"/>
    <mergeCell ref="G3:G6"/>
    <mergeCell ref="G7:G9"/>
    <mergeCell ref="A10:A34"/>
    <mergeCell ref="H10:H34"/>
    <mergeCell ref="I10:I34"/>
    <mergeCell ref="J10:J34"/>
    <mergeCell ref="J35:J40"/>
    <mergeCell ref="H7:H9"/>
    <mergeCell ref="I7:I9"/>
    <mergeCell ref="G10:G34"/>
    <mergeCell ref="G35:G40"/>
    <mergeCell ref="G41:G57"/>
    <mergeCell ref="H41:H57"/>
    <mergeCell ref="I41:I57"/>
    <mergeCell ref="J41:J57"/>
    <mergeCell ref="K41:K57"/>
    <mergeCell ref="N59:N65"/>
    <mergeCell ref="O59:O65"/>
    <mergeCell ref="P59:P65"/>
    <mergeCell ref="Q59:Q65"/>
    <mergeCell ref="R59:R65"/>
    <mergeCell ref="G59:G65"/>
    <mergeCell ref="H59:H65"/>
    <mergeCell ref="I59:I65"/>
    <mergeCell ref="J59:J65"/>
    <mergeCell ref="K59:K65"/>
    <mergeCell ref="L59:L65"/>
    <mergeCell ref="M59:M65"/>
    <mergeCell ref="N66:N69"/>
    <mergeCell ref="O66:O69"/>
    <mergeCell ref="P66:P69"/>
    <mergeCell ref="Q66:Q69"/>
    <mergeCell ref="R66:R69"/>
    <mergeCell ref="G66:G69"/>
    <mergeCell ref="H66:H69"/>
    <mergeCell ref="I66:I69"/>
    <mergeCell ref="J66:J69"/>
    <mergeCell ref="K66:K69"/>
    <mergeCell ref="L66:L69"/>
    <mergeCell ref="M66:M69"/>
    <mergeCell ref="L3:L6"/>
    <mergeCell ref="M3:M6"/>
    <mergeCell ref="N3:N6"/>
    <mergeCell ref="O3:O6"/>
    <mergeCell ref="Q3:Q6"/>
    <mergeCell ref="R3:R6"/>
    <mergeCell ref="J7:J9"/>
    <mergeCell ref="K7:K9"/>
    <mergeCell ref="L7:L9"/>
    <mergeCell ref="M7:M9"/>
    <mergeCell ref="N7:N9"/>
    <mergeCell ref="O7:O9"/>
    <mergeCell ref="Q7:Q9"/>
    <mergeCell ref="R7:R9"/>
    <mergeCell ref="R10:R34"/>
    <mergeCell ref="R35:R40"/>
    <mergeCell ref="K10:K34"/>
    <mergeCell ref="L10:L34"/>
    <mergeCell ref="M10:M34"/>
    <mergeCell ref="N10:N34"/>
    <mergeCell ref="O10:O34"/>
    <mergeCell ref="P10:P34"/>
    <mergeCell ref="Q10:Q34"/>
    <mergeCell ref="A35:A40"/>
    <mergeCell ref="A41:A57"/>
    <mergeCell ref="A59:A65"/>
    <mergeCell ref="A66:A69"/>
    <mergeCell ref="A70:A72"/>
    <mergeCell ref="L41:L57"/>
    <mergeCell ref="M41:M57"/>
    <mergeCell ref="N41:N57"/>
    <mergeCell ref="O41:O57"/>
    <mergeCell ref="P41:P57"/>
    <mergeCell ref="Q41:Q57"/>
    <mergeCell ref="R41:R57"/>
    <mergeCell ref="N70:N72"/>
    <mergeCell ref="O70:O72"/>
    <mergeCell ref="P70:P72"/>
    <mergeCell ref="Q70:Q72"/>
    <mergeCell ref="R70:R72"/>
    <mergeCell ref="G70:G72"/>
    <mergeCell ref="H70:H72"/>
    <mergeCell ref="I70:I72"/>
    <mergeCell ref="J70:J72"/>
    <mergeCell ref="K70:K72"/>
    <mergeCell ref="L70:L72"/>
    <mergeCell ref="M70:M7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41.5"/>
    <col customWidth="1" min="4" max="4" width="9.88"/>
    <col customWidth="1" min="5" max="5" width="8.5"/>
    <col customWidth="1" min="6" max="6" width="14.13"/>
    <col customWidth="1" min="7" max="7" width="20.0"/>
    <col customWidth="1" min="8" max="15" width="12.75"/>
    <col customWidth="1" min="16" max="16" width="7.63"/>
    <col customWidth="1" min="17" max="17" width="12.75"/>
    <col customWidth="1" min="18" max="26" width="7.63"/>
  </cols>
  <sheetData>
    <row r="1" ht="51.75" customHeight="1">
      <c r="A1" s="1"/>
      <c r="C1" s="62"/>
      <c r="D1" s="55" t="s">
        <v>113</v>
      </c>
      <c r="E1" s="9"/>
      <c r="F1" s="10"/>
      <c r="L1" s="11"/>
    </row>
    <row r="2">
      <c r="A2" s="56" t="s">
        <v>3</v>
      </c>
      <c r="B2" s="57"/>
      <c r="C2" s="56" t="s">
        <v>4</v>
      </c>
      <c r="D2" s="14" t="s">
        <v>5</v>
      </c>
      <c r="E2" s="14" t="s">
        <v>6</v>
      </c>
      <c r="F2" s="14" t="s">
        <v>7</v>
      </c>
      <c r="G2" s="15" t="s">
        <v>8</v>
      </c>
      <c r="H2" s="15" t="s">
        <v>8</v>
      </c>
      <c r="I2" s="15" t="s">
        <v>8</v>
      </c>
      <c r="J2" s="15" t="s">
        <v>8</v>
      </c>
      <c r="K2" s="15" t="s">
        <v>8</v>
      </c>
      <c r="L2" s="15" t="s">
        <v>8</v>
      </c>
      <c r="M2" s="15" t="s">
        <v>8</v>
      </c>
      <c r="N2" s="15" t="s">
        <v>8</v>
      </c>
      <c r="O2" s="15" t="s">
        <v>8</v>
      </c>
      <c r="P2" s="16" t="s">
        <v>9</v>
      </c>
      <c r="Q2" s="15" t="s">
        <v>8</v>
      </c>
      <c r="R2" s="16" t="s">
        <v>9</v>
      </c>
    </row>
    <row r="3">
      <c r="A3" s="58" t="s">
        <v>10</v>
      </c>
      <c r="B3" s="59" t="s">
        <v>11</v>
      </c>
      <c r="C3" s="51" t="s">
        <v>12</v>
      </c>
      <c r="D3" s="20"/>
      <c r="E3" s="20"/>
      <c r="F3" s="20"/>
      <c r="G3" s="22"/>
      <c r="H3" s="22"/>
      <c r="I3" s="22"/>
      <c r="J3" s="22"/>
      <c r="K3" s="22"/>
      <c r="L3" s="22"/>
      <c r="M3" s="22"/>
      <c r="N3" s="22"/>
      <c r="O3" s="22"/>
      <c r="P3" s="23"/>
      <c r="Q3" s="22"/>
      <c r="R3" s="22"/>
    </row>
    <row r="4">
      <c r="A4" s="24"/>
      <c r="B4" s="60" t="s">
        <v>13</v>
      </c>
      <c r="C4" s="52" t="s">
        <v>14</v>
      </c>
      <c r="D4" s="27"/>
      <c r="E4" s="27"/>
      <c r="F4" s="27"/>
      <c r="G4" s="29"/>
      <c r="H4" s="29"/>
      <c r="I4" s="29"/>
      <c r="J4" s="29"/>
      <c r="K4" s="29"/>
      <c r="L4" s="29"/>
      <c r="M4" s="29"/>
      <c r="N4" s="29"/>
      <c r="O4" s="29"/>
      <c r="P4" s="30"/>
      <c r="Q4" s="29"/>
      <c r="R4" s="29"/>
    </row>
    <row r="5">
      <c r="A5" s="24"/>
      <c r="B5" s="60" t="s">
        <v>15</v>
      </c>
      <c r="C5" s="52" t="s">
        <v>16</v>
      </c>
      <c r="D5" s="27"/>
      <c r="E5" s="27"/>
      <c r="F5" s="27"/>
      <c r="G5" s="29"/>
      <c r="H5" s="29"/>
      <c r="I5" s="29"/>
      <c r="J5" s="29"/>
      <c r="K5" s="29"/>
      <c r="L5" s="29"/>
      <c r="M5" s="29"/>
      <c r="N5" s="29"/>
      <c r="O5" s="29"/>
      <c r="P5" s="30"/>
      <c r="Q5" s="29"/>
      <c r="R5" s="29"/>
    </row>
    <row r="6">
      <c r="A6" s="31"/>
      <c r="B6" s="61" t="s">
        <v>17</v>
      </c>
      <c r="C6" s="53" t="s">
        <v>18</v>
      </c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7"/>
      <c r="Q6" s="36"/>
      <c r="R6" s="36"/>
    </row>
    <row r="7">
      <c r="A7" s="58" t="s">
        <v>19</v>
      </c>
      <c r="B7" s="59" t="s">
        <v>20</v>
      </c>
      <c r="C7" s="51" t="s">
        <v>21</v>
      </c>
      <c r="D7" s="20"/>
      <c r="E7" s="20"/>
      <c r="F7" s="20"/>
      <c r="G7" s="22"/>
      <c r="H7" s="22"/>
      <c r="I7" s="22"/>
      <c r="J7" s="22"/>
      <c r="K7" s="22"/>
      <c r="L7" s="22"/>
      <c r="M7" s="22"/>
      <c r="N7" s="22"/>
      <c r="O7" s="22"/>
      <c r="P7" s="23"/>
      <c r="Q7" s="22"/>
      <c r="R7" s="22"/>
    </row>
    <row r="8">
      <c r="A8" s="24"/>
      <c r="B8" s="60" t="s">
        <v>22</v>
      </c>
      <c r="C8" s="52" t="s">
        <v>23</v>
      </c>
      <c r="D8" s="27"/>
      <c r="E8" s="27"/>
      <c r="F8" s="27"/>
      <c r="G8" s="29"/>
      <c r="H8" s="29"/>
      <c r="I8" s="29"/>
      <c r="J8" s="29"/>
      <c r="K8" s="29"/>
      <c r="L8" s="29"/>
      <c r="M8" s="29"/>
      <c r="N8" s="29"/>
      <c r="O8" s="29"/>
      <c r="P8" s="30"/>
      <c r="Q8" s="29"/>
      <c r="R8" s="29"/>
    </row>
    <row r="9">
      <c r="A9" s="31"/>
      <c r="B9" s="61" t="s">
        <v>24</v>
      </c>
      <c r="C9" s="53" t="s">
        <v>25</v>
      </c>
      <c r="D9" s="34"/>
      <c r="E9" s="34"/>
      <c r="F9" s="34"/>
      <c r="G9" s="36"/>
      <c r="H9" s="36"/>
      <c r="I9" s="36"/>
      <c r="J9" s="36"/>
      <c r="K9" s="36"/>
      <c r="L9" s="36"/>
      <c r="M9" s="36"/>
      <c r="N9" s="36"/>
      <c r="O9" s="36"/>
      <c r="P9" s="37"/>
      <c r="Q9" s="36"/>
      <c r="R9" s="36"/>
    </row>
    <row r="10">
      <c r="A10" s="58" t="s">
        <v>26</v>
      </c>
      <c r="B10" s="59" t="s">
        <v>27</v>
      </c>
      <c r="C10" s="51" t="s">
        <v>28</v>
      </c>
      <c r="D10" s="38">
        <v>0.0</v>
      </c>
      <c r="E10" s="39"/>
      <c r="F10" s="39"/>
      <c r="G10" s="41">
        <v>50.0</v>
      </c>
      <c r="H10" s="41">
        <f>2+3+5</f>
        <v>10</v>
      </c>
      <c r="I10" s="41"/>
      <c r="J10" s="41">
        <f>4+7</f>
        <v>11</v>
      </c>
      <c r="K10" s="41">
        <f>5+3</f>
        <v>8</v>
      </c>
      <c r="L10" s="41"/>
      <c r="M10" s="41"/>
      <c r="N10" s="41"/>
      <c r="O10" s="41">
        <f>3+2+10</f>
        <v>15</v>
      </c>
      <c r="P10" s="41">
        <v>2.0</v>
      </c>
      <c r="Q10" s="41">
        <f>5</f>
        <v>5</v>
      </c>
      <c r="R10" s="41">
        <v>2.0</v>
      </c>
    </row>
    <row r="11">
      <c r="A11" s="24"/>
      <c r="B11" s="60" t="s">
        <v>29</v>
      </c>
      <c r="C11" s="52" t="s">
        <v>30</v>
      </c>
      <c r="D11" s="42"/>
      <c r="E11" s="42"/>
      <c r="F11" s="42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</row>
    <row r="12">
      <c r="A12" s="24"/>
      <c r="B12" s="60" t="s">
        <v>31</v>
      </c>
      <c r="C12" s="52" t="s">
        <v>32</v>
      </c>
      <c r="D12" s="42"/>
      <c r="E12" s="42"/>
      <c r="F12" s="42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</row>
    <row r="13">
      <c r="A13" s="24"/>
      <c r="B13" s="60" t="s">
        <v>33</v>
      </c>
      <c r="C13" s="52" t="s">
        <v>34</v>
      </c>
      <c r="D13" s="42"/>
      <c r="E13" s="42"/>
      <c r="F13" s="42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</row>
    <row r="14">
      <c r="A14" s="24"/>
      <c r="B14" s="60" t="s">
        <v>35</v>
      </c>
      <c r="C14" s="52" t="s">
        <v>36</v>
      </c>
      <c r="D14" s="42"/>
      <c r="E14" s="42"/>
      <c r="F14" s="42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</row>
    <row r="15">
      <c r="A15" s="24"/>
      <c r="B15" s="60" t="s">
        <v>37</v>
      </c>
      <c r="C15" s="52" t="s">
        <v>38</v>
      </c>
      <c r="D15" s="42"/>
      <c r="E15" s="42"/>
      <c r="F15" s="42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</row>
    <row r="16">
      <c r="A16" s="24"/>
      <c r="B16" s="60" t="s">
        <v>39</v>
      </c>
      <c r="C16" s="52" t="s">
        <v>40</v>
      </c>
      <c r="D16" s="42"/>
      <c r="E16" s="42"/>
      <c r="F16" s="42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>
      <c r="A17" s="24"/>
      <c r="B17" s="60" t="s">
        <v>41</v>
      </c>
      <c r="C17" s="52" t="s">
        <v>42</v>
      </c>
      <c r="D17" s="42"/>
      <c r="E17" s="42"/>
      <c r="F17" s="42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</row>
    <row r="18">
      <c r="A18" s="24"/>
      <c r="B18" s="60" t="s">
        <v>43</v>
      </c>
      <c r="C18" s="52" t="s">
        <v>44</v>
      </c>
      <c r="D18" s="42"/>
      <c r="E18" s="42"/>
      <c r="F18" s="42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</row>
    <row r="19">
      <c r="A19" s="24"/>
      <c r="B19" s="60" t="s">
        <v>45</v>
      </c>
      <c r="C19" s="52" t="s">
        <v>46</v>
      </c>
      <c r="D19" s="42"/>
      <c r="E19" s="42"/>
      <c r="F19" s="42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</row>
    <row r="20">
      <c r="A20" s="24"/>
      <c r="B20" s="60" t="s">
        <v>47</v>
      </c>
      <c r="C20" s="52" t="s">
        <v>32</v>
      </c>
      <c r="D20" s="42"/>
      <c r="E20" s="42"/>
      <c r="F20" s="42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>
      <c r="A21" s="24"/>
      <c r="B21" s="60" t="s">
        <v>48</v>
      </c>
      <c r="C21" s="52" t="s">
        <v>49</v>
      </c>
      <c r="D21" s="42"/>
      <c r="E21" s="42"/>
      <c r="F21" s="42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</row>
    <row r="22">
      <c r="A22" s="24"/>
      <c r="B22" s="60" t="s">
        <v>50</v>
      </c>
      <c r="C22" s="52" t="s">
        <v>51</v>
      </c>
      <c r="D22" s="42"/>
      <c r="E22" s="42"/>
      <c r="F22" s="42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</row>
    <row r="23">
      <c r="A23" s="24"/>
      <c r="B23" s="60" t="s">
        <v>52</v>
      </c>
      <c r="C23" s="52" t="s">
        <v>53</v>
      </c>
      <c r="D23" s="42"/>
      <c r="E23" s="42"/>
      <c r="F23" s="42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</row>
    <row r="24">
      <c r="A24" s="24"/>
      <c r="B24" s="60" t="s">
        <v>54</v>
      </c>
      <c r="C24" s="52" t="s">
        <v>55</v>
      </c>
      <c r="D24" s="42"/>
      <c r="E24" s="42"/>
      <c r="F24" s="42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</row>
    <row r="25">
      <c r="A25" s="24"/>
      <c r="B25" s="60" t="s">
        <v>56</v>
      </c>
      <c r="C25" s="52" t="s">
        <v>57</v>
      </c>
      <c r="D25" s="42"/>
      <c r="E25" s="42"/>
      <c r="F25" s="42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</row>
    <row r="26">
      <c r="A26" s="24"/>
      <c r="B26" s="60" t="s">
        <v>58</v>
      </c>
      <c r="C26" s="52" t="s">
        <v>59</v>
      </c>
      <c r="D26" s="42"/>
      <c r="E26" s="42"/>
      <c r="F26" s="42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</row>
    <row r="27">
      <c r="A27" s="24"/>
      <c r="B27" s="60" t="s">
        <v>60</v>
      </c>
      <c r="C27" s="52" t="s">
        <v>61</v>
      </c>
      <c r="D27" s="42"/>
      <c r="E27" s="42"/>
      <c r="F27" s="42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</row>
    <row r="28">
      <c r="A28" s="24"/>
      <c r="B28" s="60" t="s">
        <v>62</v>
      </c>
      <c r="C28" s="52" t="s">
        <v>53</v>
      </c>
      <c r="D28" s="42"/>
      <c r="E28" s="42"/>
      <c r="F28" s="42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</row>
    <row r="29">
      <c r="A29" s="24"/>
      <c r="B29" s="60" t="s">
        <v>63</v>
      </c>
      <c r="C29" s="52" t="s">
        <v>55</v>
      </c>
      <c r="D29" s="42"/>
      <c r="E29" s="42"/>
      <c r="F29" s="42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>
      <c r="A30" s="24"/>
      <c r="B30" s="60" t="s">
        <v>64</v>
      </c>
      <c r="C30" s="52" t="s">
        <v>57</v>
      </c>
      <c r="D30" s="42"/>
      <c r="E30" s="42"/>
      <c r="F30" s="42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</row>
    <row r="31">
      <c r="A31" s="24"/>
      <c r="B31" s="60" t="s">
        <v>65</v>
      </c>
      <c r="C31" s="52" t="s">
        <v>42</v>
      </c>
      <c r="D31" s="42"/>
      <c r="E31" s="42"/>
      <c r="F31" s="42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</row>
    <row r="32">
      <c r="A32" s="24"/>
      <c r="B32" s="60" t="s">
        <v>66</v>
      </c>
      <c r="C32" s="52" t="s">
        <v>67</v>
      </c>
      <c r="D32" s="42"/>
      <c r="E32" s="42"/>
      <c r="F32" s="42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</row>
    <row r="33">
      <c r="A33" s="24"/>
      <c r="B33" s="60" t="s">
        <v>68</v>
      </c>
      <c r="C33" s="52" t="s">
        <v>69</v>
      </c>
      <c r="D33" s="42"/>
      <c r="E33" s="42"/>
      <c r="F33" s="42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>
      <c r="A34" s="31"/>
      <c r="B34" s="61" t="s">
        <v>70</v>
      </c>
      <c r="C34" s="53" t="s">
        <v>32</v>
      </c>
      <c r="D34" s="44"/>
      <c r="E34" s="45">
        <v>50.0</v>
      </c>
      <c r="F34" s="54">
        <f>E34-D10</f>
        <v>50</v>
      </c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</row>
    <row r="35">
      <c r="A35" s="58"/>
      <c r="B35" s="59"/>
      <c r="C35" s="51"/>
      <c r="D35" s="39"/>
      <c r="E35" s="39"/>
      <c r="F35" s="39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</row>
    <row r="36">
      <c r="A36" s="24"/>
      <c r="B36" s="60"/>
      <c r="C36" s="52"/>
      <c r="D36" s="42"/>
      <c r="E36" s="42"/>
      <c r="F36" s="42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</row>
    <row r="37">
      <c r="A37" s="24"/>
      <c r="B37" s="60"/>
      <c r="C37" s="52"/>
      <c r="D37" s="42"/>
      <c r="E37" s="42"/>
      <c r="F37" s="42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>
      <c r="A38" s="24"/>
      <c r="B38" s="60"/>
      <c r="C38" s="52"/>
      <c r="D38" s="42"/>
      <c r="E38" s="42"/>
      <c r="F38" s="42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</row>
    <row r="39">
      <c r="A39" s="24"/>
      <c r="B39" s="60"/>
      <c r="C39" s="52"/>
      <c r="D39" s="42"/>
      <c r="E39" s="42"/>
      <c r="F39" s="42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</row>
    <row r="40">
      <c r="A40" s="31"/>
      <c r="B40" s="61"/>
      <c r="C40" s="53"/>
      <c r="D40" s="44"/>
      <c r="E40" s="44"/>
      <c r="F40" s="44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</row>
    <row r="41">
      <c r="A41" s="58"/>
      <c r="B41" s="59"/>
      <c r="C41" s="51"/>
      <c r="D41" s="39"/>
      <c r="E41" s="39"/>
      <c r="F41" s="39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</row>
    <row r="42">
      <c r="A42" s="24"/>
      <c r="B42" s="60"/>
      <c r="C42" s="52"/>
      <c r="D42" s="42"/>
      <c r="E42" s="42"/>
      <c r="F42" s="42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</row>
    <row r="43">
      <c r="A43" s="24"/>
      <c r="B43" s="60"/>
      <c r="C43" s="52"/>
      <c r="D43" s="42"/>
      <c r="E43" s="42"/>
      <c r="F43" s="42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</row>
    <row r="44">
      <c r="A44" s="24"/>
      <c r="B44" s="60"/>
      <c r="C44" s="52"/>
      <c r="D44" s="42"/>
      <c r="E44" s="42"/>
      <c r="F44" s="42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</row>
    <row r="45">
      <c r="A45" s="24"/>
      <c r="B45" s="60"/>
      <c r="C45" s="52"/>
      <c r="D45" s="42"/>
      <c r="E45" s="42"/>
      <c r="F45" s="42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</row>
    <row r="46">
      <c r="A46" s="24"/>
      <c r="B46" s="60"/>
      <c r="C46" s="52"/>
      <c r="D46" s="42"/>
      <c r="E46" s="42"/>
      <c r="F46" s="42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</row>
    <row r="47">
      <c r="A47" s="24"/>
      <c r="B47" s="60"/>
      <c r="C47" s="52"/>
      <c r="D47" s="42"/>
      <c r="E47" s="42"/>
      <c r="F47" s="42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</row>
    <row r="48">
      <c r="A48" s="24"/>
      <c r="B48" s="60"/>
      <c r="C48" s="52"/>
      <c r="D48" s="42"/>
      <c r="E48" s="42"/>
      <c r="F48" s="42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</row>
    <row r="49">
      <c r="A49" s="24"/>
      <c r="B49" s="60"/>
      <c r="C49" s="52"/>
      <c r="D49" s="42"/>
      <c r="E49" s="42"/>
      <c r="F49" s="42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</row>
    <row r="50">
      <c r="A50" s="24"/>
      <c r="B50" s="60"/>
      <c r="C50" s="52"/>
      <c r="D50" s="42"/>
      <c r="E50" s="42"/>
      <c r="F50" s="42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</row>
    <row r="51">
      <c r="A51" s="24"/>
      <c r="B51" s="60"/>
      <c r="C51" s="52"/>
      <c r="D51" s="42"/>
      <c r="E51" s="42"/>
      <c r="F51" s="42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</row>
    <row r="52">
      <c r="A52" s="24"/>
      <c r="B52" s="60"/>
      <c r="C52" s="52"/>
      <c r="D52" s="42"/>
      <c r="E52" s="42"/>
      <c r="F52" s="42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</row>
    <row r="53">
      <c r="A53" s="24"/>
      <c r="B53" s="60"/>
      <c r="C53" s="52"/>
      <c r="D53" s="42"/>
      <c r="E53" s="42"/>
      <c r="F53" s="42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</row>
    <row r="54">
      <c r="A54" s="24"/>
      <c r="B54" s="60"/>
      <c r="C54" s="52"/>
      <c r="D54" s="42"/>
      <c r="E54" s="42"/>
      <c r="F54" s="42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</row>
    <row r="55">
      <c r="A55" s="24"/>
      <c r="B55" s="60"/>
      <c r="C55" s="52"/>
      <c r="D55" s="42"/>
      <c r="E55" s="42"/>
      <c r="F55" s="42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</row>
    <row r="56">
      <c r="A56" s="24"/>
      <c r="B56" s="60"/>
      <c r="C56" s="52"/>
      <c r="D56" s="42"/>
      <c r="E56" s="42"/>
      <c r="F56" s="42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</row>
    <row r="57">
      <c r="A57" s="31"/>
      <c r="B57" s="61"/>
      <c r="C57" s="53"/>
      <c r="D57" s="44"/>
      <c r="E57" s="44"/>
      <c r="F57" s="44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</row>
    <row r="58">
      <c r="A58" s="52"/>
      <c r="B58" s="60"/>
      <c r="C58" s="52"/>
      <c r="D58" s="42"/>
      <c r="E58" s="42"/>
      <c r="F58" s="42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</row>
    <row r="59">
      <c r="A59" s="58"/>
      <c r="B59" s="59"/>
      <c r="C59" s="51"/>
      <c r="D59" s="39"/>
      <c r="E59" s="39"/>
      <c r="F59" s="39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</row>
    <row r="60">
      <c r="A60" s="24"/>
      <c r="B60" s="60"/>
      <c r="C60" s="52"/>
      <c r="D60" s="42"/>
      <c r="E60" s="42"/>
      <c r="F60" s="42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</row>
    <row r="61">
      <c r="A61" s="24"/>
      <c r="B61" s="60"/>
      <c r="C61" s="52"/>
      <c r="D61" s="42"/>
      <c r="E61" s="42"/>
      <c r="F61" s="42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</row>
    <row r="62">
      <c r="A62" s="24"/>
      <c r="B62" s="60"/>
      <c r="C62" s="52"/>
      <c r="D62" s="42"/>
      <c r="E62" s="42"/>
      <c r="F62" s="42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</row>
    <row r="63">
      <c r="A63" s="24"/>
      <c r="B63" s="60"/>
      <c r="C63" s="52"/>
      <c r="D63" s="42"/>
      <c r="E63" s="42"/>
      <c r="F63" s="42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</row>
    <row r="64">
      <c r="A64" s="24"/>
      <c r="B64" s="60"/>
      <c r="C64" s="52"/>
      <c r="D64" s="42"/>
      <c r="E64" s="42"/>
      <c r="F64" s="42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</row>
    <row r="65">
      <c r="A65" s="31"/>
      <c r="B65" s="61"/>
      <c r="C65" s="53"/>
      <c r="D65" s="44"/>
      <c r="E65" s="44"/>
      <c r="F65" s="44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</row>
    <row r="66">
      <c r="A66" s="58"/>
      <c r="B66" s="59"/>
      <c r="C66" s="51"/>
      <c r="D66" s="39"/>
      <c r="E66" s="39"/>
      <c r="F66" s="39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</row>
    <row r="67">
      <c r="A67" s="24"/>
      <c r="B67" s="60"/>
      <c r="C67" s="52"/>
      <c r="D67" s="42"/>
      <c r="E67" s="42"/>
      <c r="F67" s="42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</row>
    <row r="68">
      <c r="A68" s="24"/>
      <c r="B68" s="60"/>
      <c r="C68" s="52"/>
      <c r="D68" s="42"/>
      <c r="E68" s="42"/>
      <c r="F68" s="42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</row>
    <row r="69">
      <c r="A69" s="31"/>
      <c r="B69" s="61"/>
      <c r="C69" s="53"/>
      <c r="D69" s="44"/>
      <c r="E69" s="44"/>
      <c r="F69" s="44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</row>
    <row r="70">
      <c r="A70" s="58"/>
      <c r="B70" s="59"/>
      <c r="C70" s="53"/>
      <c r="D70" s="39"/>
      <c r="E70" s="39"/>
      <c r="F70" s="39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</row>
    <row r="71">
      <c r="A71" s="24"/>
      <c r="B71" s="60"/>
      <c r="C71" s="53"/>
      <c r="D71" s="42"/>
      <c r="E71" s="42"/>
      <c r="F71" s="42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</row>
    <row r="72">
      <c r="A72" s="31"/>
      <c r="B72" s="61"/>
      <c r="C72" s="53"/>
      <c r="D72" s="44"/>
      <c r="E72" s="44"/>
      <c r="F72" s="44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</row>
    <row r="73">
      <c r="C73" s="63"/>
    </row>
    <row r="74">
      <c r="C74" s="63"/>
    </row>
    <row r="75">
      <c r="C75" s="63"/>
    </row>
    <row r="76">
      <c r="C76" s="63"/>
    </row>
    <row r="77">
      <c r="C77" s="63"/>
    </row>
    <row r="78">
      <c r="C78" s="63"/>
    </row>
    <row r="79">
      <c r="C79" s="63"/>
    </row>
    <row r="80">
      <c r="C80" s="63"/>
    </row>
    <row r="81">
      <c r="C81" s="63"/>
    </row>
    <row r="82">
      <c r="C82" s="63"/>
    </row>
    <row r="83">
      <c r="C83" s="63"/>
    </row>
    <row r="84">
      <c r="C84" s="63"/>
    </row>
    <row r="85">
      <c r="C85" s="63"/>
    </row>
    <row r="86">
      <c r="C86" s="63"/>
    </row>
    <row r="87">
      <c r="C87" s="63"/>
    </row>
    <row r="88">
      <c r="C88" s="63"/>
    </row>
    <row r="89">
      <c r="C89" s="63"/>
    </row>
    <row r="90">
      <c r="C90" s="63"/>
    </row>
    <row r="91">
      <c r="C91" s="63"/>
    </row>
    <row r="92">
      <c r="C92" s="63"/>
    </row>
    <row r="93">
      <c r="C93" s="63"/>
    </row>
    <row r="94">
      <c r="C94" s="63"/>
    </row>
    <row r="95">
      <c r="C95" s="63"/>
    </row>
    <row r="96">
      <c r="C96" s="63"/>
    </row>
    <row r="97">
      <c r="C97" s="63"/>
    </row>
    <row r="98">
      <c r="C98" s="63"/>
    </row>
    <row r="99">
      <c r="C99" s="63"/>
    </row>
    <row r="100">
      <c r="C100" s="63"/>
    </row>
    <row r="101">
      <c r="C101" s="63"/>
    </row>
    <row r="102">
      <c r="C102" s="63"/>
    </row>
    <row r="103">
      <c r="C103" s="63"/>
    </row>
    <row r="104">
      <c r="C104" s="63"/>
    </row>
    <row r="105">
      <c r="C105" s="63"/>
    </row>
    <row r="106">
      <c r="C106" s="63"/>
    </row>
    <row r="107">
      <c r="C107" s="63"/>
    </row>
    <row r="108">
      <c r="C108" s="63"/>
    </row>
    <row r="109">
      <c r="C109" s="63"/>
    </row>
    <row r="110">
      <c r="C110" s="63"/>
    </row>
    <row r="111">
      <c r="C111" s="63"/>
    </row>
    <row r="112">
      <c r="C112" s="63"/>
    </row>
    <row r="113">
      <c r="C113" s="63"/>
    </row>
    <row r="114">
      <c r="C114" s="63"/>
    </row>
    <row r="115">
      <c r="C115" s="63"/>
    </row>
    <row r="116">
      <c r="C116" s="63"/>
    </row>
    <row r="117">
      <c r="C117" s="63"/>
    </row>
    <row r="118">
      <c r="C118" s="63"/>
    </row>
    <row r="119">
      <c r="C119" s="63"/>
    </row>
    <row r="120">
      <c r="C120" s="63"/>
    </row>
    <row r="121">
      <c r="C121" s="63"/>
    </row>
    <row r="122">
      <c r="C122" s="63"/>
    </row>
    <row r="123">
      <c r="C123" s="63"/>
    </row>
    <row r="124">
      <c r="C124" s="63"/>
    </row>
    <row r="125">
      <c r="C125" s="63"/>
    </row>
    <row r="126">
      <c r="C126" s="63"/>
    </row>
    <row r="127">
      <c r="C127" s="63"/>
    </row>
    <row r="128">
      <c r="C128" s="63"/>
    </row>
    <row r="129">
      <c r="C129" s="63"/>
    </row>
    <row r="130">
      <c r="C130" s="63"/>
    </row>
    <row r="131">
      <c r="C131" s="63"/>
    </row>
    <row r="132">
      <c r="C132" s="63"/>
    </row>
    <row r="133">
      <c r="C133" s="63"/>
    </row>
    <row r="134">
      <c r="C134" s="63"/>
    </row>
    <row r="135">
      <c r="C135" s="63"/>
    </row>
    <row r="136">
      <c r="C136" s="63"/>
    </row>
    <row r="137">
      <c r="C137" s="63"/>
    </row>
    <row r="138">
      <c r="C138" s="63"/>
    </row>
    <row r="139">
      <c r="C139" s="63"/>
    </row>
    <row r="140">
      <c r="C140" s="63"/>
    </row>
    <row r="141">
      <c r="C141" s="63"/>
    </row>
    <row r="142">
      <c r="C142" s="63"/>
    </row>
    <row r="143">
      <c r="C143" s="63"/>
    </row>
    <row r="144">
      <c r="C144" s="63"/>
    </row>
    <row r="145">
      <c r="C145" s="63"/>
    </row>
    <row r="146">
      <c r="C146" s="63"/>
    </row>
    <row r="147">
      <c r="C147" s="63"/>
    </row>
    <row r="148">
      <c r="C148" s="63"/>
    </row>
    <row r="149">
      <c r="C149" s="63"/>
    </row>
    <row r="150">
      <c r="C150" s="63"/>
    </row>
    <row r="151">
      <c r="C151" s="63"/>
    </row>
    <row r="152">
      <c r="C152" s="63"/>
    </row>
    <row r="153">
      <c r="C153" s="63"/>
    </row>
    <row r="154">
      <c r="C154" s="63"/>
    </row>
    <row r="155">
      <c r="C155" s="63"/>
    </row>
    <row r="156">
      <c r="C156" s="63"/>
    </row>
    <row r="157">
      <c r="C157" s="63"/>
    </row>
    <row r="158">
      <c r="C158" s="63"/>
    </row>
    <row r="159">
      <c r="C159" s="63"/>
    </row>
    <row r="160">
      <c r="C160" s="63"/>
    </row>
    <row r="161">
      <c r="C161" s="63"/>
    </row>
    <row r="162">
      <c r="C162" s="63"/>
    </row>
    <row r="163">
      <c r="C163" s="63"/>
    </row>
    <row r="164">
      <c r="C164" s="63"/>
    </row>
    <row r="165">
      <c r="C165" s="63"/>
    </row>
    <row r="166">
      <c r="C166" s="63"/>
    </row>
    <row r="167">
      <c r="C167" s="63"/>
    </row>
    <row r="168">
      <c r="C168" s="63"/>
    </row>
    <row r="169">
      <c r="C169" s="63"/>
    </row>
    <row r="170">
      <c r="C170" s="63"/>
    </row>
    <row r="171">
      <c r="C171" s="63"/>
    </row>
    <row r="172">
      <c r="C172" s="63"/>
    </row>
    <row r="173">
      <c r="C173" s="63"/>
    </row>
    <row r="174">
      <c r="C174" s="63"/>
    </row>
    <row r="175">
      <c r="C175" s="63"/>
    </row>
    <row r="176">
      <c r="C176" s="63"/>
    </row>
    <row r="177">
      <c r="C177" s="63"/>
    </row>
    <row r="178">
      <c r="C178" s="63"/>
    </row>
    <row r="179">
      <c r="C179" s="63"/>
    </row>
    <row r="180">
      <c r="C180" s="63"/>
    </row>
    <row r="181">
      <c r="C181" s="63"/>
    </row>
    <row r="182">
      <c r="C182" s="63"/>
    </row>
    <row r="183">
      <c r="C183" s="63"/>
    </row>
    <row r="184">
      <c r="C184" s="63"/>
    </row>
    <row r="185">
      <c r="C185" s="63"/>
    </row>
    <row r="186">
      <c r="C186" s="63"/>
    </row>
    <row r="187">
      <c r="C187" s="63"/>
    </row>
    <row r="188">
      <c r="C188" s="63"/>
    </row>
    <row r="189">
      <c r="C189" s="63"/>
    </row>
    <row r="190">
      <c r="C190" s="63"/>
    </row>
    <row r="191">
      <c r="C191" s="63"/>
    </row>
    <row r="192">
      <c r="C192" s="63"/>
    </row>
    <row r="193">
      <c r="C193" s="63"/>
    </row>
    <row r="194">
      <c r="C194" s="63"/>
    </row>
    <row r="195">
      <c r="C195" s="63"/>
    </row>
    <row r="196">
      <c r="C196" s="63"/>
    </row>
    <row r="197">
      <c r="C197" s="63"/>
    </row>
    <row r="198">
      <c r="C198" s="63"/>
    </row>
    <row r="199">
      <c r="C199" s="63"/>
    </row>
    <row r="200">
      <c r="C200" s="63"/>
    </row>
    <row r="201">
      <c r="C201" s="63"/>
    </row>
    <row r="202">
      <c r="C202" s="63"/>
    </row>
    <row r="203">
      <c r="C203" s="63"/>
    </row>
    <row r="204">
      <c r="C204" s="63"/>
    </row>
    <row r="205">
      <c r="C205" s="63"/>
    </row>
    <row r="206">
      <c r="C206" s="63"/>
    </row>
    <row r="207">
      <c r="C207" s="63"/>
    </row>
    <row r="208">
      <c r="C208" s="63"/>
    </row>
    <row r="209">
      <c r="C209" s="63"/>
    </row>
    <row r="210">
      <c r="C210" s="63"/>
    </row>
    <row r="211">
      <c r="C211" s="63"/>
    </row>
    <row r="212">
      <c r="C212" s="63"/>
    </row>
    <row r="213">
      <c r="C213" s="63"/>
    </row>
    <row r="214">
      <c r="C214" s="63"/>
    </row>
    <row r="215">
      <c r="C215" s="63"/>
    </row>
    <row r="216">
      <c r="C216" s="63"/>
    </row>
    <row r="217">
      <c r="C217" s="63"/>
    </row>
    <row r="218">
      <c r="C218" s="63"/>
    </row>
    <row r="219">
      <c r="C219" s="63"/>
    </row>
    <row r="220">
      <c r="C220" s="63"/>
    </row>
    <row r="221">
      <c r="C221" s="63"/>
    </row>
    <row r="222">
      <c r="C222" s="63"/>
    </row>
    <row r="223">
      <c r="C223" s="63"/>
    </row>
    <row r="224">
      <c r="C224" s="63"/>
    </row>
    <row r="225">
      <c r="C225" s="63"/>
    </row>
    <row r="226">
      <c r="C226" s="63"/>
    </row>
    <row r="227">
      <c r="C227" s="63"/>
    </row>
    <row r="228">
      <c r="C228" s="63"/>
    </row>
    <row r="229">
      <c r="C229" s="63"/>
    </row>
    <row r="230">
      <c r="C230" s="63"/>
    </row>
    <row r="231">
      <c r="C231" s="63"/>
    </row>
    <row r="232">
      <c r="C232" s="63"/>
    </row>
    <row r="233">
      <c r="C233" s="63"/>
    </row>
    <row r="234">
      <c r="C234" s="63"/>
    </row>
    <row r="235">
      <c r="C235" s="63"/>
    </row>
    <row r="236">
      <c r="C236" s="63"/>
    </row>
    <row r="237">
      <c r="C237" s="63"/>
    </row>
    <row r="238">
      <c r="C238" s="63"/>
    </row>
    <row r="239">
      <c r="C239" s="63"/>
    </row>
    <row r="240">
      <c r="C240" s="63"/>
    </row>
    <row r="241">
      <c r="C241" s="63"/>
    </row>
    <row r="242">
      <c r="C242" s="63"/>
    </row>
    <row r="243">
      <c r="C243" s="63"/>
    </row>
    <row r="244">
      <c r="C244" s="63"/>
    </row>
    <row r="245">
      <c r="C245" s="63"/>
    </row>
    <row r="246">
      <c r="C246" s="63"/>
    </row>
    <row r="247">
      <c r="C247" s="63"/>
    </row>
    <row r="248">
      <c r="C248" s="63"/>
    </row>
    <row r="249">
      <c r="C249" s="63"/>
    </row>
    <row r="250">
      <c r="C250" s="63"/>
    </row>
    <row r="251">
      <c r="C251" s="63"/>
    </row>
    <row r="252">
      <c r="C252" s="63"/>
    </row>
    <row r="253">
      <c r="C253" s="63"/>
    </row>
    <row r="254">
      <c r="C254" s="63"/>
    </row>
    <row r="255">
      <c r="C255" s="63"/>
    </row>
    <row r="256">
      <c r="C256" s="63"/>
    </row>
    <row r="257">
      <c r="C257" s="63"/>
    </row>
    <row r="258">
      <c r="C258" s="63"/>
    </row>
    <row r="259">
      <c r="C259" s="63"/>
    </row>
    <row r="260">
      <c r="C260" s="63"/>
    </row>
    <row r="261">
      <c r="C261" s="63"/>
    </row>
    <row r="262">
      <c r="C262" s="63"/>
    </row>
    <row r="263">
      <c r="C263" s="63"/>
    </row>
    <row r="264">
      <c r="C264" s="63"/>
    </row>
    <row r="265">
      <c r="C265" s="63"/>
    </row>
    <row r="266">
      <c r="C266" s="63"/>
    </row>
    <row r="267">
      <c r="C267" s="63"/>
    </row>
    <row r="268">
      <c r="C268" s="63"/>
    </row>
    <row r="269">
      <c r="C269" s="63"/>
    </row>
    <row r="270">
      <c r="C270" s="63"/>
    </row>
    <row r="271">
      <c r="C271" s="63"/>
    </row>
    <row r="272">
      <c r="C272" s="63"/>
    </row>
    <row r="273">
      <c r="C273" s="63"/>
    </row>
    <row r="274">
      <c r="C274" s="63"/>
    </row>
    <row r="275">
      <c r="C275" s="63"/>
    </row>
    <row r="276">
      <c r="C276" s="63"/>
    </row>
    <row r="277">
      <c r="C277" s="63"/>
    </row>
    <row r="278">
      <c r="C278" s="63"/>
    </row>
    <row r="279">
      <c r="C279" s="63"/>
    </row>
    <row r="280">
      <c r="C280" s="63"/>
    </row>
    <row r="281">
      <c r="C281" s="63"/>
    </row>
    <row r="282">
      <c r="C282" s="63"/>
    </row>
    <row r="283">
      <c r="C283" s="63"/>
    </row>
    <row r="284">
      <c r="C284" s="63"/>
    </row>
    <row r="285">
      <c r="C285" s="63"/>
    </row>
    <row r="286">
      <c r="C286" s="63"/>
    </row>
    <row r="287">
      <c r="C287" s="63"/>
    </row>
    <row r="288">
      <c r="C288" s="63"/>
    </row>
    <row r="289">
      <c r="C289" s="63"/>
    </row>
    <row r="290">
      <c r="C290" s="63"/>
    </row>
    <row r="291">
      <c r="C291" s="63"/>
    </row>
    <row r="292">
      <c r="C292" s="63"/>
    </row>
    <row r="293">
      <c r="C293" s="63"/>
    </row>
    <row r="294">
      <c r="C294" s="63"/>
    </row>
    <row r="295">
      <c r="C295" s="63"/>
    </row>
    <row r="296">
      <c r="C296" s="63"/>
    </row>
    <row r="297">
      <c r="C297" s="63"/>
    </row>
    <row r="298">
      <c r="C298" s="63"/>
    </row>
    <row r="299">
      <c r="C299" s="63"/>
    </row>
    <row r="300">
      <c r="C300" s="63"/>
    </row>
    <row r="301">
      <c r="C301" s="63"/>
    </row>
    <row r="302">
      <c r="C302" s="63"/>
    </row>
    <row r="303">
      <c r="C303" s="63"/>
    </row>
    <row r="304">
      <c r="C304" s="63"/>
    </row>
    <row r="305">
      <c r="C305" s="63"/>
    </row>
    <row r="306">
      <c r="C306" s="63"/>
    </row>
    <row r="307">
      <c r="C307" s="63"/>
    </row>
    <row r="308">
      <c r="C308" s="63"/>
    </row>
    <row r="309">
      <c r="C309" s="63"/>
    </row>
    <row r="310">
      <c r="C310" s="63"/>
    </row>
    <row r="311">
      <c r="C311" s="63"/>
    </row>
    <row r="312">
      <c r="C312" s="63"/>
    </row>
    <row r="313">
      <c r="C313" s="63"/>
    </row>
    <row r="314">
      <c r="C314" s="63"/>
    </row>
    <row r="315">
      <c r="C315" s="63"/>
    </row>
    <row r="316">
      <c r="C316" s="63"/>
    </row>
    <row r="317">
      <c r="C317" s="63"/>
    </row>
    <row r="318">
      <c r="C318" s="63"/>
    </row>
    <row r="319">
      <c r="C319" s="63"/>
    </row>
    <row r="320">
      <c r="C320" s="63"/>
    </row>
    <row r="321">
      <c r="C321" s="63"/>
    </row>
    <row r="322">
      <c r="C322" s="63"/>
    </row>
    <row r="323">
      <c r="C323" s="63"/>
    </row>
    <row r="324">
      <c r="C324" s="63"/>
    </row>
    <row r="325">
      <c r="C325" s="63"/>
    </row>
    <row r="326">
      <c r="C326" s="63"/>
    </row>
    <row r="327">
      <c r="C327" s="63"/>
    </row>
    <row r="328">
      <c r="C328" s="63"/>
    </row>
    <row r="329">
      <c r="C329" s="63"/>
    </row>
    <row r="330">
      <c r="C330" s="63"/>
    </row>
    <row r="331">
      <c r="C331" s="63"/>
    </row>
    <row r="332">
      <c r="C332" s="63"/>
    </row>
    <row r="333">
      <c r="C333" s="63"/>
    </row>
    <row r="334">
      <c r="C334" s="63"/>
    </row>
    <row r="335">
      <c r="C335" s="63"/>
    </row>
    <row r="336">
      <c r="C336" s="63"/>
    </row>
    <row r="337">
      <c r="C337" s="63"/>
    </row>
    <row r="338">
      <c r="C338" s="63"/>
    </row>
    <row r="339">
      <c r="C339" s="63"/>
    </row>
    <row r="340">
      <c r="C340" s="63"/>
    </row>
    <row r="341">
      <c r="C341" s="63"/>
    </row>
    <row r="342">
      <c r="C342" s="63"/>
    </row>
    <row r="343">
      <c r="C343" s="63"/>
    </row>
    <row r="344">
      <c r="C344" s="63"/>
    </row>
    <row r="345">
      <c r="C345" s="63"/>
    </row>
    <row r="346">
      <c r="C346" s="63"/>
    </row>
    <row r="347">
      <c r="C347" s="63"/>
    </row>
    <row r="348">
      <c r="C348" s="63"/>
    </row>
    <row r="349">
      <c r="C349" s="63"/>
    </row>
    <row r="350">
      <c r="C350" s="63"/>
    </row>
    <row r="351">
      <c r="C351" s="63"/>
    </row>
    <row r="352">
      <c r="C352" s="63"/>
    </row>
    <row r="353">
      <c r="C353" s="63"/>
    </row>
    <row r="354">
      <c r="C354" s="63"/>
    </row>
    <row r="355">
      <c r="C355" s="63"/>
    </row>
    <row r="356">
      <c r="C356" s="63"/>
    </row>
    <row r="357">
      <c r="C357" s="63"/>
    </row>
    <row r="358">
      <c r="C358" s="63"/>
    </row>
    <row r="359">
      <c r="C359" s="63"/>
    </row>
    <row r="360">
      <c r="C360" s="63"/>
    </row>
    <row r="361">
      <c r="C361" s="63"/>
    </row>
    <row r="362">
      <c r="C362" s="63"/>
    </row>
    <row r="363">
      <c r="C363" s="63"/>
    </row>
    <row r="364">
      <c r="C364" s="63"/>
    </row>
    <row r="365">
      <c r="C365" s="63"/>
    </row>
    <row r="366">
      <c r="C366" s="63"/>
    </row>
    <row r="367">
      <c r="C367" s="63"/>
    </row>
    <row r="368">
      <c r="C368" s="63"/>
    </row>
    <row r="369">
      <c r="C369" s="63"/>
    </row>
    <row r="370">
      <c r="C370" s="63"/>
    </row>
    <row r="371">
      <c r="C371" s="63"/>
    </row>
    <row r="372">
      <c r="C372" s="63"/>
    </row>
    <row r="373">
      <c r="C373" s="63"/>
    </row>
    <row r="374">
      <c r="C374" s="63"/>
    </row>
    <row r="375">
      <c r="C375" s="63"/>
    </row>
    <row r="376">
      <c r="C376" s="63"/>
    </row>
    <row r="377">
      <c r="C377" s="63"/>
    </row>
    <row r="378">
      <c r="C378" s="63"/>
    </row>
    <row r="379">
      <c r="C379" s="63"/>
    </row>
    <row r="380">
      <c r="C380" s="63"/>
    </row>
    <row r="381">
      <c r="C381" s="63"/>
    </row>
    <row r="382">
      <c r="C382" s="63"/>
    </row>
    <row r="383">
      <c r="C383" s="63"/>
    </row>
    <row r="384">
      <c r="C384" s="63"/>
    </row>
    <row r="385">
      <c r="C385" s="63"/>
    </row>
    <row r="386">
      <c r="C386" s="63"/>
    </row>
    <row r="387">
      <c r="C387" s="63"/>
    </row>
    <row r="388">
      <c r="C388" s="63"/>
    </row>
    <row r="389">
      <c r="C389" s="63"/>
    </row>
    <row r="390">
      <c r="C390" s="63"/>
    </row>
    <row r="391">
      <c r="C391" s="63"/>
    </row>
    <row r="392">
      <c r="C392" s="63"/>
    </row>
    <row r="393">
      <c r="C393" s="63"/>
    </row>
    <row r="394">
      <c r="C394" s="63"/>
    </row>
    <row r="395">
      <c r="C395" s="63"/>
    </row>
    <row r="396">
      <c r="C396" s="63"/>
    </row>
    <row r="397">
      <c r="C397" s="63"/>
    </row>
    <row r="398">
      <c r="C398" s="63"/>
    </row>
    <row r="399">
      <c r="C399" s="63"/>
    </row>
    <row r="400">
      <c r="C400" s="63"/>
    </row>
    <row r="401">
      <c r="C401" s="63"/>
    </row>
    <row r="402">
      <c r="C402" s="63"/>
    </row>
    <row r="403">
      <c r="C403" s="63"/>
    </row>
    <row r="404">
      <c r="C404" s="63"/>
    </row>
    <row r="405">
      <c r="C405" s="63"/>
    </row>
    <row r="406">
      <c r="C406" s="63"/>
    </row>
    <row r="407">
      <c r="C407" s="63"/>
    </row>
    <row r="408">
      <c r="C408" s="63"/>
    </row>
    <row r="409">
      <c r="C409" s="63"/>
    </row>
    <row r="410">
      <c r="C410" s="63"/>
    </row>
    <row r="411">
      <c r="C411" s="63"/>
    </row>
    <row r="412">
      <c r="C412" s="63"/>
    </row>
    <row r="413">
      <c r="C413" s="63"/>
    </row>
    <row r="414">
      <c r="C414" s="63"/>
    </row>
    <row r="415">
      <c r="C415" s="63"/>
    </row>
    <row r="416">
      <c r="C416" s="63"/>
    </row>
    <row r="417">
      <c r="C417" s="63"/>
    </row>
    <row r="418">
      <c r="C418" s="63"/>
    </row>
    <row r="419">
      <c r="C419" s="63"/>
    </row>
    <row r="420">
      <c r="C420" s="63"/>
    </row>
    <row r="421">
      <c r="C421" s="63"/>
    </row>
    <row r="422">
      <c r="C422" s="63"/>
    </row>
    <row r="423">
      <c r="C423" s="63"/>
    </row>
    <row r="424">
      <c r="C424" s="63"/>
    </row>
    <row r="425">
      <c r="C425" s="63"/>
    </row>
    <row r="426">
      <c r="C426" s="63"/>
    </row>
    <row r="427">
      <c r="C427" s="63"/>
    </row>
    <row r="428">
      <c r="C428" s="63"/>
    </row>
    <row r="429">
      <c r="C429" s="63"/>
    </row>
    <row r="430">
      <c r="C430" s="63"/>
    </row>
    <row r="431">
      <c r="C431" s="63"/>
    </row>
    <row r="432">
      <c r="C432" s="63"/>
    </row>
    <row r="433">
      <c r="C433" s="63"/>
    </row>
    <row r="434">
      <c r="C434" s="63"/>
    </row>
    <row r="435">
      <c r="C435" s="63"/>
    </row>
    <row r="436">
      <c r="C436" s="63"/>
    </row>
    <row r="437">
      <c r="C437" s="63"/>
    </row>
    <row r="438">
      <c r="C438" s="63"/>
    </row>
    <row r="439">
      <c r="C439" s="63"/>
    </row>
    <row r="440">
      <c r="C440" s="63"/>
    </row>
    <row r="441">
      <c r="C441" s="63"/>
    </row>
    <row r="442">
      <c r="C442" s="63"/>
    </row>
    <row r="443">
      <c r="C443" s="63"/>
    </row>
    <row r="444">
      <c r="C444" s="63"/>
    </row>
    <row r="445">
      <c r="C445" s="63"/>
    </row>
    <row r="446">
      <c r="C446" s="63"/>
    </row>
    <row r="447">
      <c r="C447" s="63"/>
    </row>
    <row r="448">
      <c r="C448" s="63"/>
    </row>
    <row r="449">
      <c r="C449" s="63"/>
    </row>
    <row r="450">
      <c r="C450" s="63"/>
    </row>
    <row r="451">
      <c r="C451" s="63"/>
    </row>
    <row r="452">
      <c r="C452" s="63"/>
    </row>
    <row r="453">
      <c r="C453" s="63"/>
    </row>
    <row r="454">
      <c r="C454" s="63"/>
    </row>
    <row r="455">
      <c r="C455" s="63"/>
    </row>
    <row r="456">
      <c r="C456" s="63"/>
    </row>
    <row r="457">
      <c r="C457" s="63"/>
    </row>
    <row r="458">
      <c r="C458" s="63"/>
    </row>
    <row r="459">
      <c r="C459" s="63"/>
    </row>
    <row r="460">
      <c r="C460" s="63"/>
    </row>
    <row r="461">
      <c r="C461" s="63"/>
    </row>
    <row r="462">
      <c r="C462" s="63"/>
    </row>
    <row r="463">
      <c r="C463" s="63"/>
    </row>
    <row r="464">
      <c r="C464" s="63"/>
    </row>
    <row r="465">
      <c r="C465" s="63"/>
    </row>
    <row r="466">
      <c r="C466" s="63"/>
    </row>
    <row r="467">
      <c r="C467" s="63"/>
    </row>
    <row r="468">
      <c r="C468" s="63"/>
    </row>
    <row r="469">
      <c r="C469" s="63"/>
    </row>
    <row r="470">
      <c r="C470" s="63"/>
    </row>
    <row r="471">
      <c r="C471" s="63"/>
    </row>
    <row r="472">
      <c r="C472" s="63"/>
    </row>
    <row r="473">
      <c r="C473" s="63"/>
    </row>
    <row r="474">
      <c r="C474" s="63"/>
    </row>
    <row r="475">
      <c r="C475" s="63"/>
    </row>
    <row r="476">
      <c r="C476" s="63"/>
    </row>
    <row r="477">
      <c r="C477" s="63"/>
    </row>
    <row r="478">
      <c r="C478" s="63"/>
    </row>
    <row r="479">
      <c r="C479" s="63"/>
    </row>
    <row r="480">
      <c r="C480" s="63"/>
    </row>
    <row r="481">
      <c r="C481" s="63"/>
    </row>
    <row r="482">
      <c r="C482" s="63"/>
    </row>
    <row r="483">
      <c r="C483" s="63"/>
    </row>
    <row r="484">
      <c r="C484" s="63"/>
    </row>
    <row r="485">
      <c r="C485" s="63"/>
    </row>
    <row r="486">
      <c r="C486" s="63"/>
    </row>
    <row r="487">
      <c r="C487" s="63"/>
    </row>
    <row r="488">
      <c r="C488" s="63"/>
    </row>
    <row r="489">
      <c r="C489" s="63"/>
    </row>
    <row r="490">
      <c r="C490" s="63"/>
    </row>
    <row r="491">
      <c r="C491" s="63"/>
    </row>
    <row r="492">
      <c r="C492" s="63"/>
    </row>
    <row r="493">
      <c r="C493" s="63"/>
    </row>
    <row r="494">
      <c r="C494" s="63"/>
    </row>
    <row r="495">
      <c r="C495" s="63"/>
    </row>
    <row r="496">
      <c r="C496" s="63"/>
    </row>
    <row r="497">
      <c r="C497" s="63"/>
    </row>
    <row r="498">
      <c r="C498" s="63"/>
    </row>
    <row r="499">
      <c r="C499" s="63"/>
    </row>
    <row r="500">
      <c r="C500" s="63"/>
    </row>
    <row r="501">
      <c r="C501" s="63"/>
    </row>
    <row r="502">
      <c r="C502" s="63"/>
    </row>
    <row r="503">
      <c r="C503" s="63"/>
    </row>
    <row r="504">
      <c r="C504" s="63"/>
    </row>
    <row r="505">
      <c r="C505" s="63"/>
    </row>
    <row r="506">
      <c r="C506" s="63"/>
    </row>
    <row r="507">
      <c r="C507" s="63"/>
    </row>
    <row r="508">
      <c r="C508" s="63"/>
    </row>
    <row r="509">
      <c r="C509" s="63"/>
    </row>
    <row r="510">
      <c r="C510" s="63"/>
    </row>
    <row r="511">
      <c r="C511" s="63"/>
    </row>
    <row r="512">
      <c r="C512" s="63"/>
    </row>
    <row r="513">
      <c r="C513" s="63"/>
    </row>
    <row r="514">
      <c r="C514" s="63"/>
    </row>
    <row r="515">
      <c r="C515" s="63"/>
    </row>
    <row r="516">
      <c r="C516" s="63"/>
    </row>
    <row r="517">
      <c r="C517" s="63"/>
    </row>
    <row r="518">
      <c r="C518" s="63"/>
    </row>
    <row r="519">
      <c r="C519" s="63"/>
    </row>
    <row r="520">
      <c r="C520" s="63"/>
    </row>
    <row r="521">
      <c r="C521" s="63"/>
    </row>
    <row r="522">
      <c r="C522" s="63"/>
    </row>
    <row r="523">
      <c r="C523" s="63"/>
    </row>
    <row r="524">
      <c r="C524" s="63"/>
    </row>
    <row r="525">
      <c r="C525" s="63"/>
    </row>
    <row r="526">
      <c r="C526" s="63"/>
    </row>
    <row r="527">
      <c r="C527" s="63"/>
    </row>
    <row r="528">
      <c r="C528" s="63"/>
    </row>
    <row r="529">
      <c r="C529" s="63"/>
    </row>
    <row r="530">
      <c r="C530" s="63"/>
    </row>
    <row r="531">
      <c r="C531" s="63"/>
    </row>
    <row r="532">
      <c r="C532" s="63"/>
    </row>
    <row r="533">
      <c r="C533" s="63"/>
    </row>
    <row r="534">
      <c r="C534" s="63"/>
    </row>
    <row r="535">
      <c r="C535" s="63"/>
    </row>
    <row r="536">
      <c r="C536" s="63"/>
    </row>
    <row r="537">
      <c r="C537" s="63"/>
    </row>
    <row r="538">
      <c r="C538" s="63"/>
    </row>
    <row r="539">
      <c r="C539" s="63"/>
    </row>
    <row r="540">
      <c r="C540" s="63"/>
    </row>
    <row r="541">
      <c r="C541" s="63"/>
    </row>
    <row r="542">
      <c r="C542" s="63"/>
    </row>
    <row r="543">
      <c r="C543" s="63"/>
    </row>
    <row r="544">
      <c r="C544" s="63"/>
    </row>
    <row r="545">
      <c r="C545" s="63"/>
    </row>
    <row r="546">
      <c r="C546" s="63"/>
    </row>
    <row r="547">
      <c r="C547" s="63"/>
    </row>
    <row r="548">
      <c r="C548" s="63"/>
    </row>
    <row r="549">
      <c r="C549" s="63"/>
    </row>
    <row r="550">
      <c r="C550" s="63"/>
    </row>
    <row r="551">
      <c r="C551" s="63"/>
    </row>
    <row r="552">
      <c r="C552" s="63"/>
    </row>
    <row r="553">
      <c r="C553" s="63"/>
    </row>
    <row r="554">
      <c r="C554" s="63"/>
    </row>
    <row r="555">
      <c r="C555" s="63"/>
    </row>
    <row r="556">
      <c r="C556" s="63"/>
    </row>
    <row r="557">
      <c r="C557" s="63"/>
    </row>
    <row r="558">
      <c r="C558" s="63"/>
    </row>
    <row r="559">
      <c r="C559" s="63"/>
    </row>
    <row r="560">
      <c r="C560" s="63"/>
    </row>
    <row r="561">
      <c r="C561" s="63"/>
    </row>
    <row r="562">
      <c r="C562" s="63"/>
    </row>
    <row r="563">
      <c r="C563" s="63"/>
    </row>
    <row r="564">
      <c r="C564" s="63"/>
    </row>
    <row r="565">
      <c r="C565" s="63"/>
    </row>
    <row r="566">
      <c r="C566" s="63"/>
    </row>
    <row r="567">
      <c r="C567" s="63"/>
    </row>
    <row r="568">
      <c r="C568" s="63"/>
    </row>
    <row r="569">
      <c r="C569" s="63"/>
    </row>
    <row r="570">
      <c r="C570" s="63"/>
    </row>
    <row r="571">
      <c r="C571" s="63"/>
    </row>
    <row r="572">
      <c r="C572" s="63"/>
    </row>
    <row r="573">
      <c r="C573" s="63"/>
    </row>
    <row r="574">
      <c r="C574" s="63"/>
    </row>
    <row r="575">
      <c r="C575" s="63"/>
    </row>
    <row r="576">
      <c r="C576" s="63"/>
    </row>
    <row r="577">
      <c r="C577" s="63"/>
    </row>
    <row r="578">
      <c r="C578" s="63"/>
    </row>
    <row r="579">
      <c r="C579" s="63"/>
    </row>
    <row r="580">
      <c r="C580" s="63"/>
    </row>
    <row r="581">
      <c r="C581" s="63"/>
    </row>
    <row r="582">
      <c r="C582" s="63"/>
    </row>
    <row r="583">
      <c r="C583" s="63"/>
    </row>
    <row r="584">
      <c r="C584" s="63"/>
    </row>
    <row r="585">
      <c r="C585" s="63"/>
    </row>
    <row r="586">
      <c r="C586" s="63"/>
    </row>
    <row r="587">
      <c r="C587" s="63"/>
    </row>
    <row r="588">
      <c r="C588" s="63"/>
    </row>
    <row r="589">
      <c r="C589" s="63"/>
    </row>
    <row r="590">
      <c r="C590" s="63"/>
    </row>
    <row r="591">
      <c r="C591" s="63"/>
    </row>
    <row r="592">
      <c r="C592" s="63"/>
    </row>
    <row r="593">
      <c r="C593" s="63"/>
    </row>
    <row r="594">
      <c r="C594" s="63"/>
    </row>
    <row r="595">
      <c r="C595" s="63"/>
    </row>
    <row r="596">
      <c r="C596" s="63"/>
    </row>
    <row r="597">
      <c r="C597" s="63"/>
    </row>
    <row r="598">
      <c r="C598" s="63"/>
    </row>
    <row r="599">
      <c r="C599" s="63"/>
    </row>
    <row r="600">
      <c r="C600" s="63"/>
    </row>
    <row r="601">
      <c r="C601" s="63"/>
    </row>
    <row r="602">
      <c r="C602" s="63"/>
    </row>
    <row r="603">
      <c r="C603" s="63"/>
    </row>
    <row r="604">
      <c r="C604" s="63"/>
    </row>
    <row r="605">
      <c r="C605" s="63"/>
    </row>
    <row r="606">
      <c r="C606" s="63"/>
    </row>
    <row r="607">
      <c r="C607" s="63"/>
    </row>
    <row r="608">
      <c r="C608" s="63"/>
    </row>
    <row r="609">
      <c r="C609" s="63"/>
    </row>
    <row r="610">
      <c r="C610" s="63"/>
    </row>
    <row r="611">
      <c r="C611" s="63"/>
    </row>
    <row r="612">
      <c r="C612" s="63"/>
    </row>
    <row r="613">
      <c r="C613" s="63"/>
    </row>
    <row r="614">
      <c r="C614" s="63"/>
    </row>
    <row r="615">
      <c r="C615" s="63"/>
    </row>
    <row r="616">
      <c r="C616" s="63"/>
    </row>
    <row r="617">
      <c r="C617" s="63"/>
    </row>
    <row r="618">
      <c r="C618" s="63"/>
    </row>
    <row r="619">
      <c r="C619" s="63"/>
    </row>
    <row r="620">
      <c r="C620" s="63"/>
    </row>
    <row r="621">
      <c r="C621" s="63"/>
    </row>
    <row r="622">
      <c r="C622" s="63"/>
    </row>
    <row r="623">
      <c r="C623" s="63"/>
    </row>
    <row r="624">
      <c r="C624" s="63"/>
    </row>
    <row r="625">
      <c r="C625" s="63"/>
    </row>
    <row r="626">
      <c r="C626" s="63"/>
    </row>
    <row r="627">
      <c r="C627" s="63"/>
    </row>
    <row r="628">
      <c r="C628" s="63"/>
    </row>
    <row r="629">
      <c r="C629" s="63"/>
    </row>
    <row r="630">
      <c r="C630" s="63"/>
    </row>
    <row r="631">
      <c r="C631" s="63"/>
    </row>
    <row r="632">
      <c r="C632" s="63"/>
    </row>
    <row r="633">
      <c r="C633" s="63"/>
    </row>
    <row r="634">
      <c r="C634" s="63"/>
    </row>
    <row r="635">
      <c r="C635" s="63"/>
    </row>
    <row r="636">
      <c r="C636" s="63"/>
    </row>
    <row r="637">
      <c r="C637" s="63"/>
    </row>
    <row r="638">
      <c r="C638" s="63"/>
    </row>
    <row r="639">
      <c r="C639" s="63"/>
    </row>
    <row r="640">
      <c r="C640" s="63"/>
    </row>
    <row r="641">
      <c r="C641" s="63"/>
    </row>
    <row r="642">
      <c r="C642" s="63"/>
    </row>
    <row r="643">
      <c r="C643" s="63"/>
    </row>
    <row r="644">
      <c r="C644" s="63"/>
    </row>
    <row r="645">
      <c r="C645" s="63"/>
    </row>
    <row r="646">
      <c r="C646" s="63"/>
    </row>
    <row r="647">
      <c r="C647" s="63"/>
    </row>
    <row r="648">
      <c r="C648" s="63"/>
    </row>
    <row r="649">
      <c r="C649" s="63"/>
    </row>
    <row r="650">
      <c r="C650" s="63"/>
    </row>
    <row r="651">
      <c r="C651" s="63"/>
    </row>
    <row r="652">
      <c r="C652" s="63"/>
    </row>
    <row r="653">
      <c r="C653" s="63"/>
    </row>
    <row r="654">
      <c r="C654" s="63"/>
    </row>
    <row r="655">
      <c r="C655" s="63"/>
    </row>
    <row r="656">
      <c r="C656" s="63"/>
    </row>
    <row r="657">
      <c r="C657" s="63"/>
    </row>
    <row r="658">
      <c r="C658" s="63"/>
    </row>
    <row r="659">
      <c r="C659" s="63"/>
    </row>
    <row r="660">
      <c r="C660" s="63"/>
    </row>
    <row r="661">
      <c r="C661" s="63"/>
    </row>
    <row r="662">
      <c r="C662" s="63"/>
    </row>
    <row r="663">
      <c r="C663" s="63"/>
    </row>
    <row r="664">
      <c r="C664" s="63"/>
    </row>
    <row r="665">
      <c r="C665" s="63"/>
    </row>
    <row r="666">
      <c r="C666" s="63"/>
    </row>
    <row r="667">
      <c r="C667" s="63"/>
    </row>
    <row r="668">
      <c r="C668" s="63"/>
    </row>
    <row r="669">
      <c r="C669" s="63"/>
    </row>
    <row r="670">
      <c r="C670" s="63"/>
    </row>
    <row r="671">
      <c r="C671" s="63"/>
    </row>
    <row r="672">
      <c r="C672" s="63"/>
    </row>
    <row r="673">
      <c r="C673" s="63"/>
    </row>
    <row r="674">
      <c r="C674" s="63"/>
    </row>
    <row r="675">
      <c r="C675" s="63"/>
    </row>
    <row r="676">
      <c r="C676" s="63"/>
    </row>
    <row r="677">
      <c r="C677" s="63"/>
    </row>
    <row r="678">
      <c r="C678" s="63"/>
    </row>
    <row r="679">
      <c r="C679" s="63"/>
    </row>
    <row r="680">
      <c r="C680" s="63"/>
    </row>
    <row r="681">
      <c r="C681" s="63"/>
    </row>
    <row r="682">
      <c r="C682" s="63"/>
    </row>
    <row r="683">
      <c r="C683" s="63"/>
    </row>
    <row r="684">
      <c r="C684" s="63"/>
    </row>
    <row r="685">
      <c r="C685" s="63"/>
    </row>
    <row r="686">
      <c r="C686" s="63"/>
    </row>
    <row r="687">
      <c r="C687" s="63"/>
    </row>
    <row r="688">
      <c r="C688" s="63"/>
    </row>
    <row r="689">
      <c r="C689" s="63"/>
    </row>
    <row r="690">
      <c r="C690" s="63"/>
    </row>
    <row r="691">
      <c r="C691" s="63"/>
    </row>
    <row r="692">
      <c r="C692" s="63"/>
    </row>
    <row r="693">
      <c r="C693" s="63"/>
    </row>
    <row r="694">
      <c r="C694" s="63"/>
    </row>
    <row r="695">
      <c r="C695" s="63"/>
    </row>
    <row r="696">
      <c r="C696" s="63"/>
    </row>
    <row r="697">
      <c r="C697" s="63"/>
    </row>
    <row r="698">
      <c r="C698" s="63"/>
    </row>
    <row r="699">
      <c r="C699" s="63"/>
    </row>
    <row r="700">
      <c r="C700" s="63"/>
    </row>
    <row r="701">
      <c r="C701" s="63"/>
    </row>
    <row r="702">
      <c r="C702" s="63"/>
    </row>
    <row r="703">
      <c r="C703" s="63"/>
    </row>
    <row r="704">
      <c r="C704" s="63"/>
    </row>
    <row r="705">
      <c r="C705" s="63"/>
    </row>
    <row r="706">
      <c r="C706" s="63"/>
    </row>
    <row r="707">
      <c r="C707" s="63"/>
    </row>
    <row r="708">
      <c r="C708" s="63"/>
    </row>
    <row r="709">
      <c r="C709" s="63"/>
    </row>
    <row r="710">
      <c r="C710" s="63"/>
    </row>
    <row r="711">
      <c r="C711" s="63"/>
    </row>
    <row r="712">
      <c r="C712" s="63"/>
    </row>
    <row r="713">
      <c r="C713" s="63"/>
    </row>
    <row r="714">
      <c r="C714" s="63"/>
    </row>
    <row r="715">
      <c r="C715" s="63"/>
    </row>
    <row r="716">
      <c r="C716" s="63"/>
    </row>
    <row r="717">
      <c r="C717" s="63"/>
    </row>
    <row r="718">
      <c r="C718" s="63"/>
    </row>
    <row r="719">
      <c r="C719" s="63"/>
    </row>
    <row r="720">
      <c r="C720" s="63"/>
    </row>
    <row r="721">
      <c r="C721" s="63"/>
    </row>
    <row r="722">
      <c r="C722" s="63"/>
    </row>
    <row r="723">
      <c r="C723" s="63"/>
    </row>
    <row r="724">
      <c r="C724" s="63"/>
    </row>
    <row r="725">
      <c r="C725" s="63"/>
    </row>
    <row r="726">
      <c r="C726" s="63"/>
    </row>
    <row r="727">
      <c r="C727" s="63"/>
    </row>
    <row r="728">
      <c r="C728" s="63"/>
    </row>
    <row r="729">
      <c r="C729" s="63"/>
    </row>
    <row r="730">
      <c r="C730" s="63"/>
    </row>
    <row r="731">
      <c r="C731" s="63"/>
    </row>
    <row r="732">
      <c r="C732" s="63"/>
    </row>
    <row r="733">
      <c r="C733" s="63"/>
    </row>
    <row r="734">
      <c r="C734" s="63"/>
    </row>
    <row r="735">
      <c r="C735" s="63"/>
    </row>
    <row r="736">
      <c r="C736" s="63"/>
    </row>
    <row r="737">
      <c r="C737" s="63"/>
    </row>
    <row r="738">
      <c r="C738" s="63"/>
    </row>
    <row r="739">
      <c r="C739" s="63"/>
    </row>
    <row r="740">
      <c r="C740" s="63"/>
    </row>
    <row r="741">
      <c r="C741" s="63"/>
    </row>
    <row r="742">
      <c r="C742" s="63"/>
    </row>
    <row r="743">
      <c r="C743" s="63"/>
    </row>
    <row r="744">
      <c r="C744" s="63"/>
    </row>
    <row r="745">
      <c r="C745" s="63"/>
    </row>
    <row r="746">
      <c r="C746" s="63"/>
    </row>
    <row r="747">
      <c r="C747" s="63"/>
    </row>
    <row r="748">
      <c r="C748" s="63"/>
    </row>
    <row r="749">
      <c r="C749" s="63"/>
    </row>
    <row r="750">
      <c r="C750" s="63"/>
    </row>
    <row r="751">
      <c r="C751" s="63"/>
    </row>
    <row r="752">
      <c r="C752" s="63"/>
    </row>
    <row r="753">
      <c r="C753" s="63"/>
    </row>
    <row r="754">
      <c r="C754" s="63"/>
    </row>
    <row r="755">
      <c r="C755" s="63"/>
    </row>
    <row r="756">
      <c r="C756" s="63"/>
    </row>
    <row r="757">
      <c r="C757" s="63"/>
    </row>
    <row r="758">
      <c r="C758" s="63"/>
    </row>
    <row r="759">
      <c r="C759" s="63"/>
    </row>
    <row r="760">
      <c r="C760" s="63"/>
    </row>
    <row r="761">
      <c r="C761" s="63"/>
    </row>
    <row r="762">
      <c r="C762" s="63"/>
    </row>
    <row r="763">
      <c r="C763" s="63"/>
    </row>
    <row r="764">
      <c r="C764" s="63"/>
    </row>
    <row r="765">
      <c r="C765" s="63"/>
    </row>
    <row r="766">
      <c r="C766" s="63"/>
    </row>
    <row r="767">
      <c r="C767" s="63"/>
    </row>
    <row r="768">
      <c r="C768" s="63"/>
    </row>
    <row r="769">
      <c r="C769" s="63"/>
    </row>
    <row r="770">
      <c r="C770" s="63"/>
    </row>
    <row r="771">
      <c r="C771" s="63"/>
    </row>
    <row r="772">
      <c r="C772" s="63"/>
    </row>
    <row r="773">
      <c r="C773" s="63"/>
    </row>
    <row r="774">
      <c r="C774" s="63"/>
    </row>
    <row r="775">
      <c r="C775" s="63"/>
    </row>
    <row r="776">
      <c r="C776" s="63"/>
    </row>
    <row r="777">
      <c r="C777" s="63"/>
    </row>
    <row r="778">
      <c r="C778" s="63"/>
    </row>
    <row r="779">
      <c r="C779" s="63"/>
    </row>
    <row r="780">
      <c r="C780" s="63"/>
    </row>
    <row r="781">
      <c r="C781" s="63"/>
    </row>
    <row r="782">
      <c r="C782" s="63"/>
    </row>
    <row r="783">
      <c r="C783" s="63"/>
    </row>
    <row r="784">
      <c r="C784" s="63"/>
    </row>
    <row r="785">
      <c r="C785" s="63"/>
    </row>
    <row r="786">
      <c r="C786" s="63"/>
    </row>
    <row r="787">
      <c r="C787" s="63"/>
    </row>
    <row r="788">
      <c r="C788" s="63"/>
    </row>
    <row r="789">
      <c r="C789" s="63"/>
    </row>
    <row r="790">
      <c r="C790" s="63"/>
    </row>
    <row r="791">
      <c r="C791" s="63"/>
    </row>
    <row r="792">
      <c r="C792" s="63"/>
    </row>
    <row r="793">
      <c r="C793" s="63"/>
    </row>
    <row r="794">
      <c r="C794" s="63"/>
    </row>
    <row r="795">
      <c r="C795" s="63"/>
    </row>
    <row r="796">
      <c r="C796" s="63"/>
    </row>
    <row r="797">
      <c r="C797" s="63"/>
    </row>
    <row r="798">
      <c r="C798" s="63"/>
    </row>
    <row r="799">
      <c r="C799" s="63"/>
    </row>
    <row r="800">
      <c r="C800" s="63"/>
    </row>
    <row r="801">
      <c r="C801" s="63"/>
    </row>
    <row r="802">
      <c r="C802" s="63"/>
    </row>
    <row r="803">
      <c r="C803" s="63"/>
    </row>
    <row r="804">
      <c r="C804" s="63"/>
    </row>
    <row r="805">
      <c r="C805" s="63"/>
    </row>
    <row r="806">
      <c r="C806" s="63"/>
    </row>
    <row r="807">
      <c r="C807" s="63"/>
    </row>
    <row r="808">
      <c r="C808" s="63"/>
    </row>
    <row r="809">
      <c r="C809" s="63"/>
    </row>
    <row r="810">
      <c r="C810" s="63"/>
    </row>
    <row r="811">
      <c r="C811" s="63"/>
    </row>
    <row r="812">
      <c r="C812" s="63"/>
    </row>
    <row r="813">
      <c r="C813" s="63"/>
    </row>
    <row r="814">
      <c r="C814" s="63"/>
    </row>
    <row r="815">
      <c r="C815" s="63"/>
    </row>
    <row r="816">
      <c r="C816" s="63"/>
    </row>
    <row r="817">
      <c r="C817" s="63"/>
    </row>
    <row r="818">
      <c r="C818" s="63"/>
    </row>
    <row r="819">
      <c r="C819" s="63"/>
    </row>
    <row r="820">
      <c r="C820" s="63"/>
    </row>
    <row r="821">
      <c r="C821" s="63"/>
    </row>
    <row r="822">
      <c r="C822" s="63"/>
    </row>
    <row r="823">
      <c r="C823" s="63"/>
    </row>
    <row r="824">
      <c r="C824" s="63"/>
    </row>
    <row r="825">
      <c r="C825" s="63"/>
    </row>
    <row r="826">
      <c r="C826" s="63"/>
    </row>
    <row r="827">
      <c r="C827" s="63"/>
    </row>
    <row r="828">
      <c r="C828" s="63"/>
    </row>
    <row r="829">
      <c r="C829" s="63"/>
    </row>
    <row r="830">
      <c r="C830" s="63"/>
    </row>
    <row r="831">
      <c r="C831" s="63"/>
    </row>
    <row r="832">
      <c r="C832" s="63"/>
    </row>
    <row r="833">
      <c r="C833" s="63"/>
    </row>
    <row r="834">
      <c r="C834" s="63"/>
    </row>
    <row r="835">
      <c r="C835" s="63"/>
    </row>
    <row r="836">
      <c r="C836" s="63"/>
    </row>
    <row r="837">
      <c r="C837" s="63"/>
    </row>
    <row r="838">
      <c r="C838" s="63"/>
    </row>
    <row r="839">
      <c r="C839" s="63"/>
    </row>
    <row r="840">
      <c r="C840" s="63"/>
    </row>
    <row r="841">
      <c r="C841" s="63"/>
    </row>
    <row r="842">
      <c r="C842" s="63"/>
    </row>
    <row r="843">
      <c r="C843" s="63"/>
    </row>
    <row r="844">
      <c r="C844" s="63"/>
    </row>
    <row r="845">
      <c r="C845" s="63"/>
    </row>
    <row r="846">
      <c r="C846" s="63"/>
    </row>
    <row r="847">
      <c r="C847" s="63"/>
    </row>
    <row r="848">
      <c r="C848" s="63"/>
    </row>
    <row r="849">
      <c r="C849" s="63"/>
    </row>
    <row r="850">
      <c r="C850" s="63"/>
    </row>
    <row r="851">
      <c r="C851" s="63"/>
    </row>
    <row r="852">
      <c r="C852" s="63"/>
    </row>
    <row r="853">
      <c r="C853" s="63"/>
    </row>
    <row r="854">
      <c r="C854" s="63"/>
    </row>
    <row r="855">
      <c r="C855" s="63"/>
    </row>
    <row r="856">
      <c r="C856" s="63"/>
    </row>
    <row r="857">
      <c r="C857" s="63"/>
    </row>
    <row r="858">
      <c r="C858" s="63"/>
    </row>
    <row r="859">
      <c r="C859" s="63"/>
    </row>
    <row r="860">
      <c r="C860" s="63"/>
    </row>
    <row r="861">
      <c r="C861" s="63"/>
    </row>
    <row r="862">
      <c r="C862" s="63"/>
    </row>
    <row r="863">
      <c r="C863" s="63"/>
    </row>
    <row r="864">
      <c r="C864" s="63"/>
    </row>
    <row r="865">
      <c r="C865" s="63"/>
    </row>
    <row r="866">
      <c r="C866" s="63"/>
    </row>
    <row r="867">
      <c r="C867" s="63"/>
    </row>
    <row r="868">
      <c r="C868" s="63"/>
    </row>
    <row r="869">
      <c r="C869" s="63"/>
    </row>
    <row r="870">
      <c r="C870" s="63"/>
    </row>
    <row r="871">
      <c r="C871" s="63"/>
    </row>
    <row r="872">
      <c r="C872" s="63"/>
    </row>
    <row r="873">
      <c r="C873" s="63"/>
    </row>
    <row r="874">
      <c r="C874" s="63"/>
    </row>
    <row r="875">
      <c r="C875" s="63"/>
    </row>
    <row r="876">
      <c r="C876" s="63"/>
    </row>
    <row r="877">
      <c r="C877" s="63"/>
    </row>
    <row r="878">
      <c r="C878" s="63"/>
    </row>
    <row r="879">
      <c r="C879" s="63"/>
    </row>
    <row r="880">
      <c r="C880" s="63"/>
    </row>
    <row r="881">
      <c r="C881" s="63"/>
    </row>
    <row r="882">
      <c r="C882" s="63"/>
    </row>
    <row r="883">
      <c r="C883" s="63"/>
    </row>
    <row r="884">
      <c r="C884" s="63"/>
    </row>
    <row r="885">
      <c r="C885" s="63"/>
    </row>
    <row r="886">
      <c r="C886" s="63"/>
    </row>
    <row r="887">
      <c r="C887" s="63"/>
    </row>
    <row r="888">
      <c r="C888" s="63"/>
    </row>
    <row r="889">
      <c r="C889" s="63"/>
    </row>
    <row r="890">
      <c r="C890" s="63"/>
    </row>
    <row r="891">
      <c r="C891" s="63"/>
    </row>
    <row r="892">
      <c r="C892" s="63"/>
    </row>
    <row r="893">
      <c r="C893" s="63"/>
    </row>
    <row r="894">
      <c r="C894" s="63"/>
    </row>
    <row r="895">
      <c r="C895" s="63"/>
    </row>
    <row r="896">
      <c r="C896" s="63"/>
    </row>
    <row r="897">
      <c r="C897" s="63"/>
    </row>
    <row r="898">
      <c r="C898" s="63"/>
    </row>
    <row r="899">
      <c r="C899" s="63"/>
    </row>
    <row r="900">
      <c r="C900" s="63"/>
    </row>
    <row r="901">
      <c r="C901" s="63"/>
    </row>
    <row r="902">
      <c r="C902" s="63"/>
    </row>
    <row r="903">
      <c r="C903" s="63"/>
    </row>
    <row r="904">
      <c r="C904" s="63"/>
    </row>
    <row r="905">
      <c r="C905" s="63"/>
    </row>
    <row r="906">
      <c r="C906" s="63"/>
    </row>
    <row r="907">
      <c r="C907" s="63"/>
    </row>
    <row r="908">
      <c r="C908" s="63"/>
    </row>
    <row r="909">
      <c r="C909" s="63"/>
    </row>
    <row r="910">
      <c r="C910" s="63"/>
    </row>
    <row r="911">
      <c r="C911" s="63"/>
    </row>
    <row r="912">
      <c r="C912" s="63"/>
    </row>
    <row r="913">
      <c r="C913" s="63"/>
    </row>
    <row r="914">
      <c r="C914" s="63"/>
    </row>
    <row r="915">
      <c r="C915" s="63"/>
    </row>
    <row r="916">
      <c r="C916" s="63"/>
    </row>
    <row r="917">
      <c r="C917" s="63"/>
    </row>
    <row r="918">
      <c r="C918" s="63"/>
    </row>
    <row r="919">
      <c r="C919" s="63"/>
    </row>
    <row r="920">
      <c r="C920" s="63"/>
    </row>
    <row r="921">
      <c r="C921" s="63"/>
    </row>
    <row r="922">
      <c r="C922" s="63"/>
    </row>
    <row r="923">
      <c r="C923" s="63"/>
    </row>
    <row r="924">
      <c r="C924" s="63"/>
    </row>
    <row r="925">
      <c r="C925" s="63"/>
    </row>
    <row r="926">
      <c r="C926" s="63"/>
    </row>
    <row r="927">
      <c r="C927" s="63"/>
    </row>
    <row r="928">
      <c r="C928" s="63"/>
    </row>
    <row r="929">
      <c r="C929" s="63"/>
    </row>
    <row r="930">
      <c r="C930" s="63"/>
    </row>
    <row r="931">
      <c r="C931" s="63"/>
    </row>
    <row r="932">
      <c r="C932" s="63"/>
    </row>
    <row r="933">
      <c r="C933" s="63"/>
    </row>
    <row r="934">
      <c r="C934" s="63"/>
    </row>
    <row r="935">
      <c r="C935" s="63"/>
    </row>
    <row r="936">
      <c r="C936" s="63"/>
    </row>
    <row r="937">
      <c r="C937" s="63"/>
    </row>
    <row r="938">
      <c r="C938" s="63"/>
    </row>
    <row r="939">
      <c r="C939" s="63"/>
    </row>
    <row r="940">
      <c r="C940" s="63"/>
    </row>
    <row r="941">
      <c r="C941" s="63"/>
    </row>
    <row r="942">
      <c r="C942" s="63"/>
    </row>
    <row r="943">
      <c r="C943" s="63"/>
    </row>
    <row r="944">
      <c r="C944" s="63"/>
    </row>
    <row r="945">
      <c r="C945" s="63"/>
    </row>
    <row r="946">
      <c r="C946" s="63"/>
    </row>
    <row r="947">
      <c r="C947" s="63"/>
    </row>
    <row r="948">
      <c r="C948" s="63"/>
    </row>
    <row r="949">
      <c r="C949" s="63"/>
    </row>
    <row r="950">
      <c r="C950" s="63"/>
    </row>
    <row r="951">
      <c r="C951" s="63"/>
    </row>
    <row r="952">
      <c r="C952" s="63"/>
    </row>
    <row r="953">
      <c r="C953" s="63"/>
    </row>
    <row r="954">
      <c r="C954" s="63"/>
    </row>
    <row r="955">
      <c r="C955" s="63"/>
    </row>
    <row r="956">
      <c r="C956" s="63"/>
    </row>
    <row r="957">
      <c r="C957" s="63"/>
    </row>
    <row r="958">
      <c r="C958" s="63"/>
    </row>
    <row r="959">
      <c r="C959" s="63"/>
    </row>
    <row r="960">
      <c r="C960" s="63"/>
    </row>
    <row r="961">
      <c r="C961" s="63"/>
    </row>
    <row r="962">
      <c r="C962" s="63"/>
    </row>
    <row r="963">
      <c r="C963" s="63"/>
    </row>
    <row r="964">
      <c r="C964" s="63"/>
    </row>
    <row r="965">
      <c r="C965" s="63"/>
    </row>
    <row r="966">
      <c r="C966" s="63"/>
    </row>
    <row r="967">
      <c r="C967" s="63"/>
    </row>
    <row r="968">
      <c r="C968" s="63"/>
    </row>
    <row r="969">
      <c r="C969" s="63"/>
    </row>
    <row r="970">
      <c r="C970" s="63"/>
    </row>
    <row r="971">
      <c r="C971" s="63"/>
    </row>
    <row r="972">
      <c r="C972" s="63"/>
    </row>
    <row r="973">
      <c r="C973" s="63"/>
    </row>
    <row r="974">
      <c r="C974" s="63"/>
    </row>
    <row r="975">
      <c r="C975" s="63"/>
    </row>
    <row r="976">
      <c r="C976" s="63"/>
    </row>
    <row r="977">
      <c r="C977" s="63"/>
    </row>
    <row r="978">
      <c r="C978" s="63"/>
    </row>
    <row r="979">
      <c r="C979" s="63"/>
    </row>
    <row r="980">
      <c r="C980" s="63"/>
    </row>
    <row r="981">
      <c r="C981" s="63"/>
    </row>
    <row r="982">
      <c r="C982" s="63"/>
    </row>
    <row r="983">
      <c r="C983" s="63"/>
    </row>
    <row r="984">
      <c r="C984" s="63"/>
    </row>
    <row r="985">
      <c r="C985" s="63"/>
    </row>
    <row r="986">
      <c r="C986" s="63"/>
    </row>
    <row r="987">
      <c r="C987" s="63"/>
    </row>
    <row r="988">
      <c r="C988" s="63"/>
    </row>
    <row r="989">
      <c r="C989" s="63"/>
    </row>
    <row r="990">
      <c r="C990" s="63"/>
    </row>
    <row r="991">
      <c r="C991" s="63"/>
    </row>
    <row r="992">
      <c r="C992" s="63"/>
    </row>
    <row r="993">
      <c r="C993" s="63"/>
    </row>
    <row r="994">
      <c r="C994" s="63"/>
    </row>
    <row r="995">
      <c r="C995" s="63"/>
    </row>
    <row r="996">
      <c r="C996" s="63"/>
    </row>
    <row r="997">
      <c r="C997" s="63"/>
    </row>
    <row r="998">
      <c r="C998" s="63"/>
    </row>
    <row r="999">
      <c r="C999" s="63"/>
    </row>
    <row r="1000">
      <c r="C1000" s="63"/>
    </row>
  </sheetData>
  <mergeCells count="103">
    <mergeCell ref="P35:P40"/>
    <mergeCell ref="Q35:Q40"/>
    <mergeCell ref="H35:H40"/>
    <mergeCell ref="I35:I40"/>
    <mergeCell ref="K35:K40"/>
    <mergeCell ref="L35:L40"/>
    <mergeCell ref="M35:M40"/>
    <mergeCell ref="N35:N40"/>
    <mergeCell ref="O35:O40"/>
    <mergeCell ref="D1:F1"/>
    <mergeCell ref="A3:A6"/>
    <mergeCell ref="H3:H6"/>
    <mergeCell ref="I3:I6"/>
    <mergeCell ref="J3:J6"/>
    <mergeCell ref="K3:K6"/>
    <mergeCell ref="A7:A9"/>
    <mergeCell ref="G3:G6"/>
    <mergeCell ref="G7:G9"/>
    <mergeCell ref="A10:A34"/>
    <mergeCell ref="H10:H34"/>
    <mergeCell ref="I10:I34"/>
    <mergeCell ref="J10:J34"/>
    <mergeCell ref="J35:J40"/>
    <mergeCell ref="H7:H9"/>
    <mergeCell ref="I7:I9"/>
    <mergeCell ref="G10:G34"/>
    <mergeCell ref="G35:G40"/>
    <mergeCell ref="G41:G57"/>
    <mergeCell ref="H41:H57"/>
    <mergeCell ref="I41:I57"/>
    <mergeCell ref="J41:J57"/>
    <mergeCell ref="K41:K57"/>
    <mergeCell ref="N59:N65"/>
    <mergeCell ref="O59:O65"/>
    <mergeCell ref="P59:P65"/>
    <mergeCell ref="Q59:Q65"/>
    <mergeCell ref="R59:R65"/>
    <mergeCell ref="G59:G65"/>
    <mergeCell ref="H59:H65"/>
    <mergeCell ref="I59:I65"/>
    <mergeCell ref="J59:J65"/>
    <mergeCell ref="K59:K65"/>
    <mergeCell ref="L59:L65"/>
    <mergeCell ref="M59:M65"/>
    <mergeCell ref="N66:N69"/>
    <mergeCell ref="O66:O69"/>
    <mergeCell ref="P66:P69"/>
    <mergeCell ref="Q66:Q69"/>
    <mergeCell ref="R66:R69"/>
    <mergeCell ref="G66:G69"/>
    <mergeCell ref="H66:H69"/>
    <mergeCell ref="I66:I69"/>
    <mergeCell ref="J66:J69"/>
    <mergeCell ref="K66:K69"/>
    <mergeCell ref="L66:L69"/>
    <mergeCell ref="M66:M69"/>
    <mergeCell ref="L3:L6"/>
    <mergeCell ref="M3:M6"/>
    <mergeCell ref="N3:N6"/>
    <mergeCell ref="O3:O6"/>
    <mergeCell ref="Q3:Q6"/>
    <mergeCell ref="R3:R6"/>
    <mergeCell ref="J7:J9"/>
    <mergeCell ref="K7:K9"/>
    <mergeCell ref="L7:L9"/>
    <mergeCell ref="M7:M9"/>
    <mergeCell ref="N7:N9"/>
    <mergeCell ref="O7:O9"/>
    <mergeCell ref="Q7:Q9"/>
    <mergeCell ref="R7:R9"/>
    <mergeCell ref="R10:R34"/>
    <mergeCell ref="R35:R40"/>
    <mergeCell ref="K10:K34"/>
    <mergeCell ref="L10:L34"/>
    <mergeCell ref="M10:M34"/>
    <mergeCell ref="N10:N34"/>
    <mergeCell ref="O10:O34"/>
    <mergeCell ref="P10:P34"/>
    <mergeCell ref="Q10:Q34"/>
    <mergeCell ref="A35:A40"/>
    <mergeCell ref="A41:A57"/>
    <mergeCell ref="A59:A65"/>
    <mergeCell ref="A66:A69"/>
    <mergeCell ref="A70:A72"/>
    <mergeCell ref="L41:L57"/>
    <mergeCell ref="M41:M57"/>
    <mergeCell ref="N41:N57"/>
    <mergeCell ref="O41:O57"/>
    <mergeCell ref="P41:P57"/>
    <mergeCell ref="Q41:Q57"/>
    <mergeCell ref="R41:R57"/>
    <mergeCell ref="N70:N72"/>
    <mergeCell ref="O70:O72"/>
    <mergeCell ref="P70:P72"/>
    <mergeCell ref="Q70:Q72"/>
    <mergeCell ref="R70:R72"/>
    <mergeCell ref="G70:G72"/>
    <mergeCell ref="H70:H72"/>
    <mergeCell ref="I70:I72"/>
    <mergeCell ref="J70:J72"/>
    <mergeCell ref="K70:K72"/>
    <mergeCell ref="L70:L72"/>
    <mergeCell ref="M70:M7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41.5"/>
    <col customWidth="1" min="4" max="4" width="9.88"/>
    <col customWidth="1" min="5" max="5" width="8.5"/>
    <col customWidth="1" min="6" max="6" width="14.13"/>
    <col customWidth="1" min="7" max="15" width="12.75"/>
    <col customWidth="1" min="16" max="16" width="7.63"/>
    <col customWidth="1" min="17" max="17" width="12.75"/>
    <col customWidth="1" min="18" max="26" width="7.63"/>
  </cols>
  <sheetData>
    <row r="1" ht="50.25" customHeight="1">
      <c r="A1" s="1"/>
      <c r="C1" s="62"/>
      <c r="D1" s="55" t="s">
        <v>114</v>
      </c>
      <c r="E1" s="9"/>
      <c r="F1" s="10"/>
      <c r="L1" s="11"/>
    </row>
    <row r="2">
      <c r="A2" s="56" t="s">
        <v>3</v>
      </c>
      <c r="B2" s="57"/>
      <c r="C2" s="56" t="s">
        <v>4</v>
      </c>
      <c r="D2" s="14" t="s">
        <v>5</v>
      </c>
      <c r="E2" s="14" t="s">
        <v>6</v>
      </c>
      <c r="F2" s="14" t="s">
        <v>7</v>
      </c>
      <c r="G2" s="15" t="s">
        <v>8</v>
      </c>
      <c r="H2" s="15" t="s">
        <v>8</v>
      </c>
      <c r="I2" s="15" t="s">
        <v>8</v>
      </c>
      <c r="J2" s="15" t="s">
        <v>8</v>
      </c>
      <c r="K2" s="15" t="s">
        <v>8</v>
      </c>
      <c r="L2" s="15" t="s">
        <v>8</v>
      </c>
      <c r="M2" s="15" t="s">
        <v>8</v>
      </c>
      <c r="N2" s="15" t="s">
        <v>8</v>
      </c>
      <c r="O2" s="15" t="s">
        <v>8</v>
      </c>
      <c r="P2" s="16" t="s">
        <v>9</v>
      </c>
      <c r="Q2" s="15" t="s">
        <v>8</v>
      </c>
      <c r="R2" s="16" t="s">
        <v>9</v>
      </c>
    </row>
    <row r="3">
      <c r="A3" s="58" t="s">
        <v>10</v>
      </c>
      <c r="B3" s="59" t="s">
        <v>11</v>
      </c>
      <c r="C3" s="51" t="s">
        <v>12</v>
      </c>
      <c r="D3" s="20"/>
      <c r="E3" s="20"/>
      <c r="F3" s="20"/>
      <c r="G3" s="22"/>
      <c r="H3" s="22"/>
      <c r="I3" s="22"/>
      <c r="J3" s="22"/>
      <c r="K3" s="22"/>
      <c r="L3" s="22"/>
      <c r="M3" s="22"/>
      <c r="N3" s="22"/>
      <c r="O3" s="22"/>
      <c r="P3" s="23"/>
      <c r="Q3" s="22"/>
      <c r="R3" s="22"/>
    </row>
    <row r="4">
      <c r="A4" s="24"/>
      <c r="B4" s="60" t="s">
        <v>13</v>
      </c>
      <c r="C4" s="52" t="s">
        <v>14</v>
      </c>
      <c r="D4" s="27"/>
      <c r="E4" s="27"/>
      <c r="F4" s="27"/>
      <c r="G4" s="29"/>
      <c r="H4" s="29"/>
      <c r="I4" s="29"/>
      <c r="J4" s="29"/>
      <c r="K4" s="29"/>
      <c r="L4" s="29"/>
      <c r="M4" s="29"/>
      <c r="N4" s="29"/>
      <c r="O4" s="29"/>
      <c r="P4" s="30"/>
      <c r="Q4" s="29"/>
      <c r="R4" s="29"/>
    </row>
    <row r="5">
      <c r="A5" s="24"/>
      <c r="B5" s="60" t="s">
        <v>15</v>
      </c>
      <c r="C5" s="52" t="s">
        <v>16</v>
      </c>
      <c r="D5" s="27"/>
      <c r="E5" s="27"/>
      <c r="F5" s="27"/>
      <c r="G5" s="29"/>
      <c r="H5" s="29"/>
      <c r="I5" s="29"/>
      <c r="J5" s="29"/>
      <c r="K5" s="29"/>
      <c r="L5" s="29"/>
      <c r="M5" s="29"/>
      <c r="N5" s="29"/>
      <c r="O5" s="29"/>
      <c r="P5" s="30"/>
      <c r="Q5" s="29"/>
      <c r="R5" s="29"/>
    </row>
    <row r="6">
      <c r="A6" s="31"/>
      <c r="B6" s="61" t="s">
        <v>17</v>
      </c>
      <c r="C6" s="53" t="s">
        <v>18</v>
      </c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7"/>
      <c r="Q6" s="36"/>
      <c r="R6" s="36"/>
    </row>
    <row r="7">
      <c r="A7" s="58" t="s">
        <v>19</v>
      </c>
      <c r="B7" s="59" t="s">
        <v>20</v>
      </c>
      <c r="C7" s="51" t="s">
        <v>21</v>
      </c>
      <c r="D7" s="20"/>
      <c r="E7" s="20"/>
      <c r="F7" s="20"/>
      <c r="G7" s="22"/>
      <c r="H7" s="22"/>
      <c r="I7" s="22"/>
      <c r="J7" s="22"/>
      <c r="K7" s="22"/>
      <c r="L7" s="22"/>
      <c r="M7" s="22"/>
      <c r="N7" s="22"/>
      <c r="O7" s="22"/>
      <c r="P7" s="23"/>
      <c r="Q7" s="22"/>
      <c r="R7" s="22"/>
    </row>
    <row r="8">
      <c r="A8" s="24"/>
      <c r="B8" s="60" t="s">
        <v>22</v>
      </c>
      <c r="C8" s="52" t="s">
        <v>23</v>
      </c>
      <c r="D8" s="27"/>
      <c r="E8" s="27"/>
      <c r="F8" s="27"/>
      <c r="G8" s="29"/>
      <c r="H8" s="29"/>
      <c r="I8" s="29"/>
      <c r="J8" s="29"/>
      <c r="K8" s="29"/>
      <c r="L8" s="29"/>
      <c r="M8" s="29"/>
      <c r="N8" s="29"/>
      <c r="O8" s="29"/>
      <c r="P8" s="30"/>
      <c r="Q8" s="29"/>
      <c r="R8" s="29"/>
    </row>
    <row r="9">
      <c r="A9" s="31"/>
      <c r="B9" s="61" t="s">
        <v>24</v>
      </c>
      <c r="C9" s="53" t="s">
        <v>25</v>
      </c>
      <c r="D9" s="34"/>
      <c r="E9" s="34"/>
      <c r="F9" s="34"/>
      <c r="G9" s="36"/>
      <c r="H9" s="36"/>
      <c r="I9" s="36"/>
      <c r="J9" s="36"/>
      <c r="K9" s="36"/>
      <c r="L9" s="36"/>
      <c r="M9" s="36"/>
      <c r="N9" s="36"/>
      <c r="O9" s="36"/>
      <c r="P9" s="37"/>
      <c r="Q9" s="36"/>
      <c r="R9" s="36"/>
    </row>
    <row r="10">
      <c r="A10" s="58" t="s">
        <v>26</v>
      </c>
      <c r="B10" s="59" t="s">
        <v>27</v>
      </c>
      <c r="C10" s="51" t="s">
        <v>28</v>
      </c>
      <c r="D10" s="38">
        <v>0.0</v>
      </c>
      <c r="E10" s="39"/>
      <c r="F10" s="39"/>
      <c r="G10" s="41">
        <v>38.0</v>
      </c>
      <c r="H10" s="41">
        <v>2.0</v>
      </c>
      <c r="I10" s="41"/>
      <c r="J10" s="41">
        <f>7+3</f>
        <v>10</v>
      </c>
      <c r="K10" s="41">
        <v>6.0</v>
      </c>
      <c r="L10" s="41"/>
      <c r="M10" s="41"/>
      <c r="N10" s="41"/>
      <c r="O10" s="41">
        <f>5+3</f>
        <v>8</v>
      </c>
      <c r="P10" s="41">
        <v>2.0</v>
      </c>
      <c r="Q10" s="41">
        <f>7+5</f>
        <v>12</v>
      </c>
      <c r="R10" s="41">
        <v>3.0</v>
      </c>
    </row>
    <row r="11">
      <c r="A11" s="24"/>
      <c r="B11" s="60" t="s">
        <v>29</v>
      </c>
      <c r="C11" s="52" t="s">
        <v>30</v>
      </c>
      <c r="D11" s="42"/>
      <c r="E11" s="42"/>
      <c r="F11" s="42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</row>
    <row r="12">
      <c r="A12" s="24"/>
      <c r="B12" s="60" t="s">
        <v>31</v>
      </c>
      <c r="C12" s="52" t="s">
        <v>32</v>
      </c>
      <c r="D12" s="42"/>
      <c r="E12" s="42"/>
      <c r="F12" s="42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</row>
    <row r="13">
      <c r="A13" s="24"/>
      <c r="B13" s="60" t="s">
        <v>33</v>
      </c>
      <c r="C13" s="52" t="s">
        <v>34</v>
      </c>
      <c r="D13" s="42"/>
      <c r="E13" s="42"/>
      <c r="F13" s="42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</row>
    <row r="14">
      <c r="A14" s="24"/>
      <c r="B14" s="60" t="s">
        <v>35</v>
      </c>
      <c r="C14" s="52" t="s">
        <v>36</v>
      </c>
      <c r="D14" s="42"/>
      <c r="E14" s="42"/>
      <c r="F14" s="42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</row>
    <row r="15">
      <c r="A15" s="24"/>
      <c r="B15" s="60" t="s">
        <v>37</v>
      </c>
      <c r="C15" s="52" t="s">
        <v>38</v>
      </c>
      <c r="D15" s="42"/>
      <c r="E15" s="42"/>
      <c r="F15" s="42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</row>
    <row r="16">
      <c r="A16" s="24"/>
      <c r="B16" s="60" t="s">
        <v>39</v>
      </c>
      <c r="C16" s="52" t="s">
        <v>40</v>
      </c>
      <c r="D16" s="42"/>
      <c r="E16" s="42"/>
      <c r="F16" s="42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>
      <c r="A17" s="24"/>
      <c r="B17" s="60" t="s">
        <v>41</v>
      </c>
      <c r="C17" s="52" t="s">
        <v>42</v>
      </c>
      <c r="D17" s="42"/>
      <c r="E17" s="42"/>
      <c r="F17" s="42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</row>
    <row r="18">
      <c r="A18" s="24"/>
      <c r="B18" s="60" t="s">
        <v>43</v>
      </c>
      <c r="C18" s="52" t="s">
        <v>44</v>
      </c>
      <c r="D18" s="42"/>
      <c r="E18" s="42"/>
      <c r="F18" s="42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</row>
    <row r="19">
      <c r="A19" s="24"/>
      <c r="B19" s="60" t="s">
        <v>45</v>
      </c>
      <c r="C19" s="52" t="s">
        <v>46</v>
      </c>
      <c r="D19" s="42"/>
      <c r="E19" s="42"/>
      <c r="F19" s="42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</row>
    <row r="20">
      <c r="A20" s="24"/>
      <c r="B20" s="60" t="s">
        <v>47</v>
      </c>
      <c r="C20" s="52" t="s">
        <v>32</v>
      </c>
      <c r="D20" s="42"/>
      <c r="E20" s="42"/>
      <c r="F20" s="42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>
      <c r="A21" s="24"/>
      <c r="B21" s="60" t="s">
        <v>48</v>
      </c>
      <c r="C21" s="52" t="s">
        <v>49</v>
      </c>
      <c r="D21" s="42"/>
      <c r="E21" s="42"/>
      <c r="F21" s="42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</row>
    <row r="22">
      <c r="A22" s="24"/>
      <c r="B22" s="60" t="s">
        <v>50</v>
      </c>
      <c r="C22" s="52" t="s">
        <v>51</v>
      </c>
      <c r="D22" s="42"/>
      <c r="E22" s="42"/>
      <c r="F22" s="42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</row>
    <row r="23">
      <c r="A23" s="24"/>
      <c r="B23" s="60" t="s">
        <v>52</v>
      </c>
      <c r="C23" s="52" t="s">
        <v>53</v>
      </c>
      <c r="D23" s="42"/>
      <c r="E23" s="42"/>
      <c r="F23" s="42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</row>
    <row r="24">
      <c r="A24" s="24"/>
      <c r="B24" s="60" t="s">
        <v>54</v>
      </c>
      <c r="C24" s="52" t="s">
        <v>55</v>
      </c>
      <c r="D24" s="42"/>
      <c r="E24" s="42"/>
      <c r="F24" s="42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</row>
    <row r="25">
      <c r="A25" s="24"/>
      <c r="B25" s="60" t="s">
        <v>56</v>
      </c>
      <c r="C25" s="52" t="s">
        <v>57</v>
      </c>
      <c r="D25" s="42"/>
      <c r="E25" s="42"/>
      <c r="F25" s="42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</row>
    <row r="26">
      <c r="A26" s="24"/>
      <c r="B26" s="60" t="s">
        <v>58</v>
      </c>
      <c r="C26" s="52" t="s">
        <v>59</v>
      </c>
      <c r="D26" s="42"/>
      <c r="E26" s="42"/>
      <c r="F26" s="42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</row>
    <row r="27">
      <c r="A27" s="24"/>
      <c r="B27" s="60" t="s">
        <v>60</v>
      </c>
      <c r="C27" s="52" t="s">
        <v>61</v>
      </c>
      <c r="D27" s="42"/>
      <c r="E27" s="42"/>
      <c r="F27" s="42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</row>
    <row r="28">
      <c r="A28" s="24"/>
      <c r="B28" s="60" t="s">
        <v>62</v>
      </c>
      <c r="C28" s="52" t="s">
        <v>53</v>
      </c>
      <c r="D28" s="42"/>
      <c r="E28" s="42"/>
      <c r="F28" s="42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</row>
    <row r="29">
      <c r="A29" s="24"/>
      <c r="B29" s="60" t="s">
        <v>63</v>
      </c>
      <c r="C29" s="52" t="s">
        <v>55</v>
      </c>
      <c r="D29" s="42"/>
      <c r="E29" s="42"/>
      <c r="F29" s="42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>
      <c r="A30" s="24"/>
      <c r="B30" s="60" t="s">
        <v>64</v>
      </c>
      <c r="C30" s="52" t="s">
        <v>57</v>
      </c>
      <c r="D30" s="42"/>
      <c r="E30" s="42"/>
      <c r="F30" s="42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</row>
    <row r="31">
      <c r="A31" s="24"/>
      <c r="B31" s="60" t="s">
        <v>65</v>
      </c>
      <c r="C31" s="52" t="s">
        <v>42</v>
      </c>
      <c r="D31" s="42"/>
      <c r="E31" s="42"/>
      <c r="F31" s="42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</row>
    <row r="32">
      <c r="A32" s="24"/>
      <c r="B32" s="60" t="s">
        <v>66</v>
      </c>
      <c r="C32" s="52" t="s">
        <v>67</v>
      </c>
      <c r="D32" s="42"/>
      <c r="E32" s="42"/>
      <c r="F32" s="42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</row>
    <row r="33">
      <c r="A33" s="24"/>
      <c r="B33" s="60" t="s">
        <v>68</v>
      </c>
      <c r="C33" s="52" t="s">
        <v>69</v>
      </c>
      <c r="D33" s="42"/>
      <c r="E33" s="42"/>
      <c r="F33" s="42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>
      <c r="A34" s="31"/>
      <c r="B34" s="61" t="s">
        <v>70</v>
      </c>
      <c r="C34" s="53" t="s">
        <v>32</v>
      </c>
      <c r="D34" s="44"/>
      <c r="E34" s="45">
        <v>38.0</v>
      </c>
      <c r="F34" s="54">
        <f>E34-D10</f>
        <v>38</v>
      </c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</row>
    <row r="35">
      <c r="A35" s="58"/>
      <c r="B35" s="59"/>
      <c r="C35" s="51"/>
      <c r="D35" s="39"/>
      <c r="E35" s="39"/>
      <c r="F35" s="39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</row>
    <row r="36">
      <c r="A36" s="24"/>
      <c r="B36" s="60"/>
      <c r="C36" s="52"/>
      <c r="D36" s="42"/>
      <c r="E36" s="42"/>
      <c r="F36" s="42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</row>
    <row r="37">
      <c r="A37" s="24"/>
      <c r="B37" s="60"/>
      <c r="C37" s="52"/>
      <c r="D37" s="42"/>
      <c r="E37" s="42"/>
      <c r="F37" s="42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>
      <c r="A38" s="24"/>
      <c r="B38" s="60"/>
      <c r="C38" s="52"/>
      <c r="D38" s="42"/>
      <c r="E38" s="42"/>
      <c r="F38" s="42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</row>
    <row r="39">
      <c r="A39" s="24"/>
      <c r="B39" s="60"/>
      <c r="C39" s="52"/>
      <c r="D39" s="42"/>
      <c r="E39" s="42"/>
      <c r="F39" s="42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</row>
    <row r="40">
      <c r="A40" s="31"/>
      <c r="B40" s="61"/>
      <c r="C40" s="53"/>
      <c r="D40" s="44"/>
      <c r="E40" s="44"/>
      <c r="F40" s="44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</row>
    <row r="41">
      <c r="A41" s="58" t="s">
        <v>84</v>
      </c>
      <c r="B41" s="59" t="s">
        <v>85</v>
      </c>
      <c r="C41" s="51" t="s">
        <v>34</v>
      </c>
      <c r="D41" s="48">
        <v>38.0</v>
      </c>
      <c r="E41" s="39"/>
      <c r="F41" s="39"/>
      <c r="G41" s="41">
        <f>46</f>
        <v>46</v>
      </c>
      <c r="H41" s="41">
        <f>4+2</f>
        <v>6</v>
      </c>
      <c r="I41" s="41"/>
      <c r="J41" s="41">
        <f>4</f>
        <v>4</v>
      </c>
      <c r="K41" s="41">
        <f>2+4+4</f>
        <v>10</v>
      </c>
      <c r="L41" s="41"/>
      <c r="M41" s="41"/>
      <c r="N41" s="41"/>
      <c r="O41" s="41">
        <f>2+2</f>
        <v>4</v>
      </c>
      <c r="P41" s="41">
        <v>2.0</v>
      </c>
      <c r="Q41" s="41">
        <f>2+2+4</f>
        <v>8</v>
      </c>
      <c r="R41" s="41">
        <v>2.0</v>
      </c>
    </row>
    <row r="42">
      <c r="A42" s="24"/>
      <c r="B42" s="60" t="s">
        <v>86</v>
      </c>
      <c r="C42" s="52" t="s">
        <v>87</v>
      </c>
      <c r="D42" s="42"/>
      <c r="E42" s="42"/>
      <c r="F42" s="42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</row>
    <row r="43">
      <c r="A43" s="24"/>
      <c r="B43" s="60" t="s">
        <v>88</v>
      </c>
      <c r="C43" s="52" t="s">
        <v>89</v>
      </c>
      <c r="D43" s="42"/>
      <c r="E43" s="42"/>
      <c r="F43" s="42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</row>
    <row r="44">
      <c r="A44" s="24"/>
      <c r="B44" s="60" t="s">
        <v>90</v>
      </c>
      <c r="C44" s="52" t="s">
        <v>91</v>
      </c>
      <c r="D44" s="42"/>
      <c r="E44" s="42"/>
      <c r="F44" s="42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</row>
    <row r="45">
      <c r="A45" s="24"/>
      <c r="B45" s="60" t="s">
        <v>92</v>
      </c>
      <c r="C45" s="52" t="s">
        <v>42</v>
      </c>
      <c r="D45" s="42"/>
      <c r="E45" s="42"/>
      <c r="F45" s="42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</row>
    <row r="46">
      <c r="A46" s="24"/>
      <c r="B46" s="60" t="s">
        <v>93</v>
      </c>
      <c r="C46" s="52" t="s">
        <v>44</v>
      </c>
      <c r="D46" s="42"/>
      <c r="E46" s="42"/>
      <c r="F46" s="42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</row>
    <row r="47">
      <c r="A47" s="24"/>
      <c r="B47" s="60" t="s">
        <v>94</v>
      </c>
      <c r="C47" s="52" t="s">
        <v>46</v>
      </c>
      <c r="D47" s="42"/>
      <c r="E47" s="42"/>
      <c r="F47" s="42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</row>
    <row r="48">
      <c r="A48" s="24"/>
      <c r="B48" s="60" t="s">
        <v>95</v>
      </c>
      <c r="C48" s="52" t="s">
        <v>32</v>
      </c>
      <c r="D48" s="42"/>
      <c r="E48" s="42"/>
      <c r="F48" s="42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</row>
    <row r="49">
      <c r="A49" s="24"/>
      <c r="B49" s="60" t="s">
        <v>96</v>
      </c>
      <c r="C49" s="52" t="s">
        <v>97</v>
      </c>
      <c r="D49" s="42"/>
      <c r="E49" s="42"/>
      <c r="F49" s="42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</row>
    <row r="50">
      <c r="A50" s="24"/>
      <c r="B50" s="60" t="s">
        <v>98</v>
      </c>
      <c r="C50" s="52" t="s">
        <v>99</v>
      </c>
      <c r="D50" s="42"/>
      <c r="E50" s="42"/>
      <c r="F50" s="42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</row>
    <row r="51">
      <c r="A51" s="24"/>
      <c r="B51" s="60" t="s">
        <v>100</v>
      </c>
      <c r="C51" s="52" t="s">
        <v>101</v>
      </c>
      <c r="D51" s="42"/>
      <c r="E51" s="42"/>
      <c r="F51" s="42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</row>
    <row r="52">
      <c r="A52" s="24"/>
      <c r="B52" s="60" t="s">
        <v>102</v>
      </c>
      <c r="C52" s="52" t="s">
        <v>103</v>
      </c>
      <c r="D52" s="42"/>
      <c r="E52" s="42"/>
      <c r="F52" s="42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</row>
    <row r="53">
      <c r="A53" s="24"/>
      <c r="B53" s="60">
        <v>0.2152777777777778</v>
      </c>
      <c r="C53" s="52" t="s">
        <v>42</v>
      </c>
      <c r="D53" s="42"/>
      <c r="E53" s="42"/>
      <c r="F53" s="42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</row>
    <row r="54">
      <c r="A54" s="24"/>
      <c r="B54" s="60" t="s">
        <v>104</v>
      </c>
      <c r="C54" s="52" t="s">
        <v>67</v>
      </c>
      <c r="D54" s="42"/>
      <c r="E54" s="42"/>
      <c r="F54" s="42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</row>
    <row r="55">
      <c r="A55" s="24"/>
      <c r="B55" s="60" t="s">
        <v>105</v>
      </c>
      <c r="C55" s="52" t="s">
        <v>69</v>
      </c>
      <c r="D55" s="42"/>
      <c r="E55" s="42"/>
      <c r="F55" s="42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</row>
    <row r="56">
      <c r="A56" s="24"/>
      <c r="B56" s="60" t="s">
        <v>106</v>
      </c>
      <c r="C56" s="52" t="s">
        <v>107</v>
      </c>
      <c r="D56" s="42"/>
      <c r="E56" s="42"/>
      <c r="F56" s="42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</row>
    <row r="57">
      <c r="A57" s="31"/>
      <c r="B57" s="61" t="s">
        <v>108</v>
      </c>
      <c r="C57" s="53" t="s">
        <v>109</v>
      </c>
      <c r="D57" s="44"/>
      <c r="E57" s="44"/>
      <c r="F57" s="44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</row>
    <row r="58">
      <c r="A58" s="52"/>
      <c r="B58" s="60">
        <v>0.21875</v>
      </c>
      <c r="C58" s="52" t="s">
        <v>110</v>
      </c>
      <c r="D58" s="42"/>
      <c r="E58" s="49">
        <v>84.0</v>
      </c>
      <c r="F58" s="42">
        <f>E58-D41</f>
        <v>46</v>
      </c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</row>
    <row r="59">
      <c r="A59" s="58"/>
      <c r="B59" s="59"/>
      <c r="C59" s="51"/>
      <c r="D59" s="39"/>
      <c r="E59" s="39"/>
      <c r="F59" s="39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</row>
    <row r="60">
      <c r="A60" s="24"/>
      <c r="B60" s="60"/>
      <c r="C60" s="52"/>
      <c r="D60" s="42"/>
      <c r="E60" s="42"/>
      <c r="F60" s="42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</row>
    <row r="61">
      <c r="A61" s="24"/>
      <c r="B61" s="60"/>
      <c r="C61" s="52"/>
      <c r="D61" s="42"/>
      <c r="E61" s="42"/>
      <c r="F61" s="42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</row>
    <row r="62">
      <c r="A62" s="24"/>
      <c r="B62" s="60"/>
      <c r="C62" s="52"/>
      <c r="D62" s="42"/>
      <c r="E62" s="42"/>
      <c r="F62" s="42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</row>
    <row r="63">
      <c r="A63" s="24"/>
      <c r="B63" s="60"/>
      <c r="C63" s="52"/>
      <c r="D63" s="42"/>
      <c r="E63" s="42"/>
      <c r="F63" s="42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</row>
    <row r="64">
      <c r="A64" s="24"/>
      <c r="B64" s="60"/>
      <c r="C64" s="52"/>
      <c r="D64" s="42"/>
      <c r="E64" s="42"/>
      <c r="F64" s="42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</row>
    <row r="65">
      <c r="A65" s="31"/>
      <c r="B65" s="61"/>
      <c r="C65" s="53"/>
      <c r="D65" s="44"/>
      <c r="E65" s="44"/>
      <c r="F65" s="44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</row>
    <row r="66">
      <c r="A66" s="58"/>
      <c r="B66" s="59"/>
      <c r="C66" s="51"/>
      <c r="D66" s="39"/>
      <c r="E66" s="39"/>
      <c r="F66" s="39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</row>
    <row r="67">
      <c r="A67" s="24"/>
      <c r="B67" s="60"/>
      <c r="C67" s="52"/>
      <c r="D67" s="42"/>
      <c r="E67" s="42"/>
      <c r="F67" s="42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</row>
    <row r="68">
      <c r="A68" s="24"/>
      <c r="B68" s="60"/>
      <c r="C68" s="52"/>
      <c r="D68" s="42"/>
      <c r="E68" s="42"/>
      <c r="F68" s="42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</row>
    <row r="69">
      <c r="A69" s="31"/>
      <c r="B69" s="61"/>
      <c r="C69" s="53"/>
      <c r="D69" s="44"/>
      <c r="E69" s="44"/>
      <c r="F69" s="44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</row>
    <row r="70">
      <c r="A70" s="58"/>
      <c r="B70" s="59"/>
      <c r="C70" s="53"/>
      <c r="D70" s="39"/>
      <c r="E70" s="39"/>
      <c r="F70" s="39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</row>
    <row r="71">
      <c r="A71" s="24"/>
      <c r="B71" s="60"/>
      <c r="C71" s="53"/>
      <c r="D71" s="42"/>
      <c r="E71" s="42"/>
      <c r="F71" s="42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</row>
    <row r="72">
      <c r="A72" s="31"/>
      <c r="B72" s="61"/>
      <c r="C72" s="53"/>
      <c r="D72" s="44"/>
      <c r="E72" s="44"/>
      <c r="F72" s="44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</row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03">
    <mergeCell ref="P35:P40"/>
    <mergeCell ref="Q35:Q40"/>
    <mergeCell ref="H35:H40"/>
    <mergeCell ref="I35:I40"/>
    <mergeCell ref="K35:K40"/>
    <mergeCell ref="L35:L40"/>
    <mergeCell ref="M35:M40"/>
    <mergeCell ref="N35:N40"/>
    <mergeCell ref="O35:O40"/>
    <mergeCell ref="D1:F1"/>
    <mergeCell ref="A3:A6"/>
    <mergeCell ref="H3:H6"/>
    <mergeCell ref="I3:I6"/>
    <mergeCell ref="J3:J6"/>
    <mergeCell ref="K3:K6"/>
    <mergeCell ref="A7:A9"/>
    <mergeCell ref="G3:G6"/>
    <mergeCell ref="G7:G9"/>
    <mergeCell ref="A10:A34"/>
    <mergeCell ref="H10:H34"/>
    <mergeCell ref="I10:I34"/>
    <mergeCell ref="J10:J34"/>
    <mergeCell ref="J35:J40"/>
    <mergeCell ref="H7:H9"/>
    <mergeCell ref="I7:I9"/>
    <mergeCell ref="G10:G34"/>
    <mergeCell ref="G35:G40"/>
    <mergeCell ref="G41:G57"/>
    <mergeCell ref="H41:H57"/>
    <mergeCell ref="I41:I57"/>
    <mergeCell ref="J41:J57"/>
    <mergeCell ref="K41:K57"/>
    <mergeCell ref="N59:N65"/>
    <mergeCell ref="O59:O65"/>
    <mergeCell ref="P59:P65"/>
    <mergeCell ref="Q59:Q65"/>
    <mergeCell ref="R59:R65"/>
    <mergeCell ref="G59:G65"/>
    <mergeCell ref="H59:H65"/>
    <mergeCell ref="I59:I65"/>
    <mergeCell ref="J59:J65"/>
    <mergeCell ref="K59:K65"/>
    <mergeCell ref="L59:L65"/>
    <mergeCell ref="M59:M65"/>
    <mergeCell ref="N66:N69"/>
    <mergeCell ref="O66:O69"/>
    <mergeCell ref="P66:P69"/>
    <mergeCell ref="Q66:Q69"/>
    <mergeCell ref="R66:R69"/>
    <mergeCell ref="G66:G69"/>
    <mergeCell ref="H66:H69"/>
    <mergeCell ref="I66:I69"/>
    <mergeCell ref="J66:J69"/>
    <mergeCell ref="K66:K69"/>
    <mergeCell ref="L66:L69"/>
    <mergeCell ref="M66:M69"/>
    <mergeCell ref="L3:L6"/>
    <mergeCell ref="M3:M6"/>
    <mergeCell ref="N3:N6"/>
    <mergeCell ref="O3:O6"/>
    <mergeCell ref="Q3:Q6"/>
    <mergeCell ref="R3:R6"/>
    <mergeCell ref="J7:J9"/>
    <mergeCell ref="K7:K9"/>
    <mergeCell ref="L7:L9"/>
    <mergeCell ref="M7:M9"/>
    <mergeCell ref="N7:N9"/>
    <mergeCell ref="O7:O9"/>
    <mergeCell ref="Q7:Q9"/>
    <mergeCell ref="R7:R9"/>
    <mergeCell ref="R10:R34"/>
    <mergeCell ref="R35:R40"/>
    <mergeCell ref="K10:K34"/>
    <mergeCell ref="L10:L34"/>
    <mergeCell ref="M10:M34"/>
    <mergeCell ref="N10:N34"/>
    <mergeCell ref="O10:O34"/>
    <mergeCell ref="P10:P34"/>
    <mergeCell ref="Q10:Q34"/>
    <mergeCell ref="A35:A40"/>
    <mergeCell ref="A41:A57"/>
    <mergeCell ref="A59:A65"/>
    <mergeCell ref="A66:A69"/>
    <mergeCell ref="A70:A72"/>
    <mergeCell ref="L41:L57"/>
    <mergeCell ref="M41:M57"/>
    <mergeCell ref="N41:N57"/>
    <mergeCell ref="O41:O57"/>
    <mergeCell ref="P41:P57"/>
    <mergeCell ref="Q41:Q57"/>
    <mergeCell ref="R41:R57"/>
    <mergeCell ref="N70:N72"/>
    <mergeCell ref="O70:O72"/>
    <mergeCell ref="P70:P72"/>
    <mergeCell ref="Q70:Q72"/>
    <mergeCell ref="R70:R72"/>
    <mergeCell ref="G70:G72"/>
    <mergeCell ref="H70:H72"/>
    <mergeCell ref="I70:I72"/>
    <mergeCell ref="J70:J72"/>
    <mergeCell ref="K70:K72"/>
    <mergeCell ref="L70:L72"/>
    <mergeCell ref="M70:M72"/>
  </mergeCells>
  <printOptions/>
  <pageMargins bottom="0.75" footer="0.0" header="0.0" left="0.7" right="0.7" top="0.75"/>
  <pageSetup orientation="landscape"/>
  <drawing r:id="rId1"/>
</worksheet>
</file>